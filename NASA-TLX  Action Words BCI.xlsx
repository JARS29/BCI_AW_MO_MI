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correoiueedu-my.sharepoint.com/personal/jariascos_correo_iue_edu_co/Documents/Documents/PhD/Action_Words/BCI_AW_MO_MI/"/>
    </mc:Choice>
  </mc:AlternateContent>
  <xr:revisionPtr revIDLastSave="453" documentId="11_F0884EFCB41B68BFD49B1534DE2528E350C37998" xr6:coauthVersionLast="47" xr6:coauthVersionMax="47" xr10:uidLastSave="{0EEFB128-FABD-428A-8FCB-0A3E71D545B8}"/>
  <bookViews>
    <workbookView xWindow="-110" yWindow="-110" windowWidth="19420" windowHeight="10300" activeTab="1" xr2:uid="{00000000-000D-0000-FFFF-FFFF00000000}"/>
  </bookViews>
  <sheets>
    <sheet name="Form Responses 1" sheetId="1" r:id="rId1"/>
    <sheet name="Nasa_Ratings" sheetId="5" r:id="rId2"/>
    <sheet name="AW" sheetId="2" r:id="rId3"/>
    <sheet name="MI" sheetId="3" r:id="rId4"/>
    <sheet name="MO" sheetId="4" r:id="rId5"/>
  </sheets>
  <definedNames>
    <definedName name="_xlnm._FilterDatabase" localSheetId="0" hidden="1">'Form Responses 1'!$A$1:$X$87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3" i="5" l="1"/>
  <c r="AK12" i="5"/>
  <c r="AF17" i="5"/>
  <c r="AM17" i="5" s="1"/>
  <c r="AG17" i="5"/>
  <c r="AH17" i="5"/>
  <c r="AI17" i="5"/>
  <c r="AJ17" i="5"/>
  <c r="AQ17" i="5" s="1"/>
  <c r="AN17" i="5"/>
  <c r="AO17" i="5"/>
  <c r="AP17" i="5"/>
  <c r="AL17" i="5"/>
  <c r="AM16" i="5"/>
  <c r="AN16" i="5"/>
  <c r="AO16" i="5"/>
  <c r="AP16" i="5"/>
  <c r="AQ16" i="5"/>
  <c r="AL16" i="5"/>
  <c r="AM15" i="5"/>
  <c r="AN15" i="5"/>
  <c r="AO15" i="5"/>
  <c r="AP15" i="5"/>
  <c r="AQ15" i="5"/>
  <c r="AL15" i="5"/>
  <c r="AF15" i="5"/>
  <c r="AF16" i="5"/>
  <c r="AG16" i="5"/>
  <c r="AH16" i="5"/>
  <c r="AI16" i="5"/>
  <c r="AJ16" i="5"/>
  <c r="AG15" i="5"/>
  <c r="AH15" i="5"/>
  <c r="AI15" i="5"/>
  <c r="AJ15" i="5"/>
  <c r="AE17" i="5"/>
  <c r="AE16" i="5"/>
  <c r="AE15" i="5"/>
  <c r="AK14" i="5"/>
  <c r="AF14" i="5"/>
  <c r="AG14" i="5"/>
  <c r="AH14" i="5"/>
  <c r="AI14" i="5"/>
  <c r="AJ14" i="5"/>
  <c r="AE14" i="5"/>
  <c r="AL13" i="5"/>
  <c r="AF13" i="5"/>
  <c r="AG13" i="5"/>
  <c r="AH13" i="5"/>
  <c r="AI13" i="5"/>
  <c r="AJ13" i="5"/>
  <c r="AE13" i="5"/>
  <c r="AL12" i="5"/>
  <c r="AF12" i="5"/>
  <c r="AG12" i="5"/>
  <c r="AH12" i="5"/>
  <c r="AI12" i="5"/>
  <c r="AJ12" i="5"/>
  <c r="AE12" i="5"/>
  <c r="AF8" i="5"/>
  <c r="AG8" i="5"/>
  <c r="AH8" i="5"/>
  <c r="AI8" i="5"/>
  <c r="AE8" i="5"/>
  <c r="AF7" i="5"/>
  <c r="AG7" i="5"/>
  <c r="AH7" i="5"/>
  <c r="AI7" i="5"/>
  <c r="AE7" i="5"/>
  <c r="AC67" i="5"/>
  <c r="AC68" i="5"/>
  <c r="AC69" i="5"/>
  <c r="AC70" i="5"/>
  <c r="AC71" i="5"/>
  <c r="AC72" i="5"/>
  <c r="AC73" i="5"/>
  <c r="AC74" i="5"/>
  <c r="AC75" i="5"/>
  <c r="AC76" i="5"/>
  <c r="AC77" i="5"/>
  <c r="AC78" i="5"/>
  <c r="AC79" i="5"/>
  <c r="AC80" i="5"/>
  <c r="AC81" i="5"/>
  <c r="AC82" i="5"/>
  <c r="AC83" i="5"/>
  <c r="AC84" i="5"/>
  <c r="AC85" i="5"/>
  <c r="AC86" i="5"/>
  <c r="AC87" i="5"/>
  <c r="AC88" i="5"/>
  <c r="AC89" i="5"/>
  <c r="AC90" i="5"/>
  <c r="AC91" i="5"/>
  <c r="AC92" i="5"/>
  <c r="AC93" i="5"/>
  <c r="AC66" i="5"/>
  <c r="W67" i="5"/>
  <c r="X67" i="5"/>
  <c r="Y67" i="5"/>
  <c r="V68" i="5"/>
  <c r="Y68" i="5"/>
  <c r="Z68" i="5"/>
  <c r="U69" i="5"/>
  <c r="X69" i="5"/>
  <c r="U70" i="5"/>
  <c r="V70" i="5"/>
  <c r="W70" i="5"/>
  <c r="Z70" i="5"/>
  <c r="W71" i="5"/>
  <c r="X71" i="5"/>
  <c r="Y71" i="5"/>
  <c r="V72" i="5"/>
  <c r="Y72" i="5"/>
  <c r="Z72" i="5"/>
  <c r="U73" i="5"/>
  <c r="X73" i="5"/>
  <c r="U74" i="5"/>
  <c r="V74" i="5"/>
  <c r="W74" i="5"/>
  <c r="Z74" i="5"/>
  <c r="W75" i="5"/>
  <c r="X75" i="5"/>
  <c r="Y75" i="5"/>
  <c r="V76" i="5"/>
  <c r="W76" i="5"/>
  <c r="Y76" i="5"/>
  <c r="Z76" i="5"/>
  <c r="U77" i="5"/>
  <c r="X77" i="5"/>
  <c r="Y77" i="5"/>
  <c r="U78" i="5"/>
  <c r="V78" i="5"/>
  <c r="W78" i="5"/>
  <c r="Z78" i="5"/>
  <c r="U79" i="5"/>
  <c r="V79" i="5"/>
  <c r="W79" i="5"/>
  <c r="X79" i="5"/>
  <c r="Y79" i="5"/>
  <c r="V80" i="5"/>
  <c r="W80" i="5"/>
  <c r="X80" i="5"/>
  <c r="Y80" i="5"/>
  <c r="Z80" i="5"/>
  <c r="U81" i="5"/>
  <c r="X81" i="5"/>
  <c r="Y81" i="5"/>
  <c r="Z81" i="5"/>
  <c r="U82" i="5"/>
  <c r="V82" i="5"/>
  <c r="W82" i="5"/>
  <c r="Z82" i="5"/>
  <c r="U83" i="5"/>
  <c r="V83" i="5"/>
  <c r="W83" i="5"/>
  <c r="X83" i="5"/>
  <c r="Y83" i="5"/>
  <c r="AA83" i="5" s="1"/>
  <c r="AB83" i="5" s="1"/>
  <c r="V84" i="5"/>
  <c r="W84" i="5"/>
  <c r="X84" i="5"/>
  <c r="Y84" i="5"/>
  <c r="Z84" i="5"/>
  <c r="U85" i="5"/>
  <c r="X85" i="5"/>
  <c r="Y85" i="5"/>
  <c r="Z85" i="5"/>
  <c r="U86" i="5"/>
  <c r="V86" i="5"/>
  <c r="W86" i="5"/>
  <c r="Z86" i="5"/>
  <c r="U87" i="5"/>
  <c r="V87" i="5"/>
  <c r="W87" i="5"/>
  <c r="X87" i="5"/>
  <c r="Y87" i="5"/>
  <c r="V88" i="5"/>
  <c r="W88" i="5"/>
  <c r="X88" i="5"/>
  <c r="Y88" i="5"/>
  <c r="Z88" i="5"/>
  <c r="U89" i="5"/>
  <c r="X89" i="5"/>
  <c r="Y89" i="5"/>
  <c r="Z89" i="5"/>
  <c r="U90" i="5"/>
  <c r="V90" i="5"/>
  <c r="W90" i="5"/>
  <c r="Z90" i="5"/>
  <c r="U91" i="5"/>
  <c r="V91" i="5"/>
  <c r="W91" i="5"/>
  <c r="X91" i="5"/>
  <c r="Y91" i="5"/>
  <c r="AA91" i="5" s="1"/>
  <c r="AB91" i="5" s="1"/>
  <c r="V92" i="5"/>
  <c r="W92" i="5"/>
  <c r="X92" i="5"/>
  <c r="Y92" i="5"/>
  <c r="Z92" i="5"/>
  <c r="U93" i="5"/>
  <c r="X93" i="5"/>
  <c r="Y93" i="5"/>
  <c r="Z93" i="5"/>
  <c r="V66" i="5"/>
  <c r="W66" i="5"/>
  <c r="X66" i="5"/>
  <c r="U66" i="5"/>
  <c r="X63" i="5"/>
  <c r="Y63" i="5"/>
  <c r="I67" i="5"/>
  <c r="U67" i="5" s="1"/>
  <c r="J67" i="5"/>
  <c r="V67" i="5" s="1"/>
  <c r="K67" i="5"/>
  <c r="L67" i="5"/>
  <c r="M67" i="5"/>
  <c r="N67" i="5"/>
  <c r="Z67" i="5" s="1"/>
  <c r="AA67" i="5" s="1"/>
  <c r="AB67" i="5" s="1"/>
  <c r="I68" i="5"/>
  <c r="U68" i="5" s="1"/>
  <c r="J68" i="5"/>
  <c r="K68" i="5"/>
  <c r="W68" i="5" s="1"/>
  <c r="L68" i="5"/>
  <c r="X68" i="5" s="1"/>
  <c r="M68" i="5"/>
  <c r="N68" i="5"/>
  <c r="I69" i="5"/>
  <c r="J69" i="5"/>
  <c r="V69" i="5" s="1"/>
  <c r="K69" i="5"/>
  <c r="W69" i="5" s="1"/>
  <c r="L69" i="5"/>
  <c r="M69" i="5"/>
  <c r="Y69" i="5" s="1"/>
  <c r="N69" i="5"/>
  <c r="Z69" i="5" s="1"/>
  <c r="I70" i="5"/>
  <c r="J70" i="5"/>
  <c r="K70" i="5"/>
  <c r="L70" i="5"/>
  <c r="X70" i="5" s="1"/>
  <c r="M70" i="5"/>
  <c r="Y70" i="5" s="1"/>
  <c r="N70" i="5"/>
  <c r="I71" i="5"/>
  <c r="U71" i="5" s="1"/>
  <c r="J71" i="5"/>
  <c r="V71" i="5" s="1"/>
  <c r="K71" i="5"/>
  <c r="L71" i="5"/>
  <c r="M71" i="5"/>
  <c r="N71" i="5"/>
  <c r="Z71" i="5" s="1"/>
  <c r="I72" i="5"/>
  <c r="U72" i="5" s="1"/>
  <c r="J72" i="5"/>
  <c r="K72" i="5"/>
  <c r="W72" i="5" s="1"/>
  <c r="L72" i="5"/>
  <c r="X72" i="5" s="1"/>
  <c r="M72" i="5"/>
  <c r="N72" i="5"/>
  <c r="I73" i="5"/>
  <c r="J73" i="5"/>
  <c r="V73" i="5" s="1"/>
  <c r="K73" i="5"/>
  <c r="W73" i="5" s="1"/>
  <c r="L73" i="5"/>
  <c r="M73" i="5"/>
  <c r="Y73" i="5" s="1"/>
  <c r="N73" i="5"/>
  <c r="Z73" i="5" s="1"/>
  <c r="I74" i="5"/>
  <c r="J74" i="5"/>
  <c r="K74" i="5"/>
  <c r="L74" i="5"/>
  <c r="X74" i="5" s="1"/>
  <c r="M74" i="5"/>
  <c r="Y74" i="5" s="1"/>
  <c r="N74" i="5"/>
  <c r="I75" i="5"/>
  <c r="U75" i="5" s="1"/>
  <c r="AA75" i="5" s="1"/>
  <c r="AB75" i="5" s="1"/>
  <c r="J75" i="5"/>
  <c r="V75" i="5" s="1"/>
  <c r="K75" i="5"/>
  <c r="L75" i="5"/>
  <c r="M75" i="5"/>
  <c r="N75" i="5"/>
  <c r="Z75" i="5" s="1"/>
  <c r="I76" i="5"/>
  <c r="U76" i="5" s="1"/>
  <c r="AA76" i="5" s="1"/>
  <c r="AB76" i="5" s="1"/>
  <c r="J76" i="5"/>
  <c r="K76" i="5"/>
  <c r="L76" i="5"/>
  <c r="X76" i="5" s="1"/>
  <c r="M76" i="5"/>
  <c r="N76" i="5"/>
  <c r="I77" i="5"/>
  <c r="J77" i="5"/>
  <c r="V77" i="5" s="1"/>
  <c r="K77" i="5"/>
  <c r="W77" i="5" s="1"/>
  <c r="L77" i="5"/>
  <c r="M77" i="5"/>
  <c r="N77" i="5"/>
  <c r="Z77" i="5" s="1"/>
  <c r="I78" i="5"/>
  <c r="J78" i="5"/>
  <c r="K78" i="5"/>
  <c r="L78" i="5"/>
  <c r="X78" i="5" s="1"/>
  <c r="M78" i="5"/>
  <c r="Y78" i="5" s="1"/>
  <c r="N78" i="5"/>
  <c r="I79" i="5"/>
  <c r="J79" i="5"/>
  <c r="K79" i="5"/>
  <c r="L79" i="5"/>
  <c r="M79" i="5"/>
  <c r="N79" i="5"/>
  <c r="Z79" i="5" s="1"/>
  <c r="I80" i="5"/>
  <c r="U80" i="5" s="1"/>
  <c r="AA80" i="5" s="1"/>
  <c r="AB80" i="5" s="1"/>
  <c r="J80" i="5"/>
  <c r="K80" i="5"/>
  <c r="L80" i="5"/>
  <c r="M80" i="5"/>
  <c r="N80" i="5"/>
  <c r="I81" i="5"/>
  <c r="J81" i="5"/>
  <c r="V81" i="5" s="1"/>
  <c r="K81" i="5"/>
  <c r="W81" i="5" s="1"/>
  <c r="L81" i="5"/>
  <c r="M81" i="5"/>
  <c r="N81" i="5"/>
  <c r="I82" i="5"/>
  <c r="J82" i="5"/>
  <c r="K82" i="5"/>
  <c r="L82" i="5"/>
  <c r="X82" i="5" s="1"/>
  <c r="M82" i="5"/>
  <c r="Y82" i="5" s="1"/>
  <c r="N82" i="5"/>
  <c r="I83" i="5"/>
  <c r="J83" i="5"/>
  <c r="K83" i="5"/>
  <c r="L83" i="5"/>
  <c r="M83" i="5"/>
  <c r="N83" i="5"/>
  <c r="Z83" i="5" s="1"/>
  <c r="I84" i="5"/>
  <c r="U84" i="5" s="1"/>
  <c r="AA84" i="5" s="1"/>
  <c r="AB84" i="5" s="1"/>
  <c r="J84" i="5"/>
  <c r="K84" i="5"/>
  <c r="L84" i="5"/>
  <c r="M84" i="5"/>
  <c r="N84" i="5"/>
  <c r="I85" i="5"/>
  <c r="J85" i="5"/>
  <c r="V85" i="5" s="1"/>
  <c r="K85" i="5"/>
  <c r="W85" i="5" s="1"/>
  <c r="L85" i="5"/>
  <c r="M85" i="5"/>
  <c r="N85" i="5"/>
  <c r="I86" i="5"/>
  <c r="J86" i="5"/>
  <c r="K86" i="5"/>
  <c r="L86" i="5"/>
  <c r="X86" i="5" s="1"/>
  <c r="M86" i="5"/>
  <c r="Y86" i="5" s="1"/>
  <c r="N86" i="5"/>
  <c r="I87" i="5"/>
  <c r="J87" i="5"/>
  <c r="K87" i="5"/>
  <c r="L87" i="5"/>
  <c r="M87" i="5"/>
  <c r="N87" i="5"/>
  <c r="Z87" i="5" s="1"/>
  <c r="I88" i="5"/>
  <c r="U88" i="5" s="1"/>
  <c r="AA88" i="5" s="1"/>
  <c r="AB88" i="5" s="1"/>
  <c r="J88" i="5"/>
  <c r="K88" i="5"/>
  <c r="L88" i="5"/>
  <c r="M88" i="5"/>
  <c r="N88" i="5"/>
  <c r="I89" i="5"/>
  <c r="J89" i="5"/>
  <c r="V89" i="5" s="1"/>
  <c r="K89" i="5"/>
  <c r="W89" i="5" s="1"/>
  <c r="L89" i="5"/>
  <c r="M89" i="5"/>
  <c r="N89" i="5"/>
  <c r="I90" i="5"/>
  <c r="J90" i="5"/>
  <c r="K90" i="5"/>
  <c r="L90" i="5"/>
  <c r="X90" i="5" s="1"/>
  <c r="M90" i="5"/>
  <c r="Y90" i="5" s="1"/>
  <c r="N90" i="5"/>
  <c r="I91" i="5"/>
  <c r="J91" i="5"/>
  <c r="K91" i="5"/>
  <c r="L91" i="5"/>
  <c r="M91" i="5"/>
  <c r="N91" i="5"/>
  <c r="Z91" i="5" s="1"/>
  <c r="I92" i="5"/>
  <c r="U92" i="5" s="1"/>
  <c r="AA92" i="5" s="1"/>
  <c r="AB92" i="5" s="1"/>
  <c r="J92" i="5"/>
  <c r="K92" i="5"/>
  <c r="L92" i="5"/>
  <c r="M92" i="5"/>
  <c r="N92" i="5"/>
  <c r="I93" i="5"/>
  <c r="J93" i="5"/>
  <c r="V93" i="5" s="1"/>
  <c r="K93" i="5"/>
  <c r="W93" i="5" s="1"/>
  <c r="L93" i="5"/>
  <c r="M93" i="5"/>
  <c r="N93" i="5"/>
  <c r="J66" i="5"/>
  <c r="K66" i="5"/>
  <c r="L66" i="5"/>
  <c r="M66" i="5"/>
  <c r="Y66" i="5" s="1"/>
  <c r="N66" i="5"/>
  <c r="Z66" i="5" s="1"/>
  <c r="I66" i="5"/>
  <c r="AC63" i="5"/>
  <c r="AC62" i="5"/>
  <c r="AC61" i="5"/>
  <c r="AC60" i="5"/>
  <c r="AC59" i="5"/>
  <c r="AC58" i="5"/>
  <c r="AC57" i="5"/>
  <c r="AC56" i="5"/>
  <c r="AC55" i="5"/>
  <c r="AC54" i="5"/>
  <c r="AC53" i="5"/>
  <c r="AC52" i="5"/>
  <c r="AC51" i="5"/>
  <c r="AC50" i="5"/>
  <c r="AC49" i="5"/>
  <c r="AC48" i="5"/>
  <c r="AC47" i="5"/>
  <c r="AC46" i="5"/>
  <c r="AC45" i="5"/>
  <c r="AC44" i="5"/>
  <c r="AC43" i="5"/>
  <c r="AC42" i="5"/>
  <c r="AC41" i="5"/>
  <c r="AC40" i="5"/>
  <c r="AC39" i="5"/>
  <c r="AC38" i="5"/>
  <c r="AC37" i="5"/>
  <c r="AC36" i="5"/>
  <c r="AC35" i="5"/>
  <c r="Y36" i="5"/>
  <c r="U38" i="5"/>
  <c r="W39" i="5"/>
  <c r="U42" i="5"/>
  <c r="Y44" i="5"/>
  <c r="U46" i="5"/>
  <c r="W47" i="5"/>
  <c r="Y48" i="5"/>
  <c r="U50" i="5"/>
  <c r="AA50" i="5" s="1"/>
  <c r="AB50" i="5" s="1"/>
  <c r="U54" i="5"/>
  <c r="V55" i="5"/>
  <c r="W55" i="5"/>
  <c r="X56" i="5"/>
  <c r="Y56" i="5"/>
  <c r="W59" i="5"/>
  <c r="X60" i="5"/>
  <c r="Y60" i="5"/>
  <c r="Z61" i="5"/>
  <c r="U62" i="5"/>
  <c r="V35" i="5"/>
  <c r="W35" i="5"/>
  <c r="X35" i="5"/>
  <c r="U35" i="5"/>
  <c r="I36" i="5"/>
  <c r="U36" i="5" s="1"/>
  <c r="J36" i="5"/>
  <c r="V36" i="5" s="1"/>
  <c r="K36" i="5"/>
  <c r="W36" i="5" s="1"/>
  <c r="L36" i="5"/>
  <c r="X36" i="5" s="1"/>
  <c r="M36" i="5"/>
  <c r="N36" i="5"/>
  <c r="Z36" i="5" s="1"/>
  <c r="I37" i="5"/>
  <c r="J37" i="5"/>
  <c r="K37" i="5"/>
  <c r="W37" i="5" s="1"/>
  <c r="L37" i="5"/>
  <c r="X37" i="5" s="1"/>
  <c r="M37" i="5"/>
  <c r="Y37" i="5" s="1"/>
  <c r="N37" i="5"/>
  <c r="Z37" i="5" s="1"/>
  <c r="I38" i="5"/>
  <c r="J38" i="5"/>
  <c r="V38" i="5" s="1"/>
  <c r="K38" i="5"/>
  <c r="L38" i="5"/>
  <c r="M38" i="5"/>
  <c r="Y38" i="5" s="1"/>
  <c r="N38" i="5"/>
  <c r="Z38" i="5" s="1"/>
  <c r="I39" i="5"/>
  <c r="U39" i="5" s="1"/>
  <c r="J39" i="5"/>
  <c r="V39" i="5" s="1"/>
  <c r="K39" i="5"/>
  <c r="L39" i="5"/>
  <c r="X39" i="5" s="1"/>
  <c r="M39" i="5"/>
  <c r="N39" i="5"/>
  <c r="Z39" i="5" s="1"/>
  <c r="I40" i="5"/>
  <c r="U40" i="5" s="1"/>
  <c r="J40" i="5"/>
  <c r="V40" i="5" s="1"/>
  <c r="K40" i="5"/>
  <c r="W40" i="5" s="1"/>
  <c r="L40" i="5"/>
  <c r="X40" i="5" s="1"/>
  <c r="M40" i="5"/>
  <c r="Y40" i="5" s="1"/>
  <c r="N40" i="5"/>
  <c r="Z40" i="5" s="1"/>
  <c r="I41" i="5"/>
  <c r="U41" i="5" s="1"/>
  <c r="J41" i="5"/>
  <c r="V41" i="5" s="1"/>
  <c r="K41" i="5"/>
  <c r="W41" i="5" s="1"/>
  <c r="L41" i="5"/>
  <c r="X41" i="5" s="1"/>
  <c r="M41" i="5"/>
  <c r="Y41" i="5" s="1"/>
  <c r="N41" i="5"/>
  <c r="Z41" i="5" s="1"/>
  <c r="I42" i="5"/>
  <c r="J42" i="5"/>
  <c r="V42" i="5" s="1"/>
  <c r="K42" i="5"/>
  <c r="W42" i="5" s="1"/>
  <c r="L42" i="5"/>
  <c r="X42" i="5" s="1"/>
  <c r="M42" i="5"/>
  <c r="Y42" i="5" s="1"/>
  <c r="N42" i="5"/>
  <c r="Z42" i="5" s="1"/>
  <c r="I43" i="5"/>
  <c r="U43" i="5" s="1"/>
  <c r="J43" i="5"/>
  <c r="V43" i="5" s="1"/>
  <c r="K43" i="5"/>
  <c r="W43" i="5" s="1"/>
  <c r="L43" i="5"/>
  <c r="X43" i="5" s="1"/>
  <c r="M43" i="5"/>
  <c r="Y43" i="5" s="1"/>
  <c r="N43" i="5"/>
  <c r="I44" i="5"/>
  <c r="U44" i="5" s="1"/>
  <c r="J44" i="5"/>
  <c r="V44" i="5" s="1"/>
  <c r="K44" i="5"/>
  <c r="W44" i="5" s="1"/>
  <c r="L44" i="5"/>
  <c r="X44" i="5" s="1"/>
  <c r="M44" i="5"/>
  <c r="N44" i="5"/>
  <c r="Z44" i="5" s="1"/>
  <c r="I45" i="5"/>
  <c r="U45" i="5" s="1"/>
  <c r="J45" i="5"/>
  <c r="V45" i="5" s="1"/>
  <c r="K45" i="5"/>
  <c r="W45" i="5" s="1"/>
  <c r="L45" i="5"/>
  <c r="X45" i="5" s="1"/>
  <c r="M45" i="5"/>
  <c r="Y45" i="5" s="1"/>
  <c r="N45" i="5"/>
  <c r="Z45" i="5" s="1"/>
  <c r="I46" i="5"/>
  <c r="J46" i="5"/>
  <c r="V46" i="5" s="1"/>
  <c r="K46" i="5"/>
  <c r="W46" i="5" s="1"/>
  <c r="L46" i="5"/>
  <c r="X46" i="5" s="1"/>
  <c r="M46" i="5"/>
  <c r="Y46" i="5" s="1"/>
  <c r="N46" i="5"/>
  <c r="Z46" i="5" s="1"/>
  <c r="I47" i="5"/>
  <c r="U47" i="5" s="1"/>
  <c r="AA47" i="5" s="1"/>
  <c r="AB47" i="5" s="1"/>
  <c r="J47" i="5"/>
  <c r="V47" i="5" s="1"/>
  <c r="K47" i="5"/>
  <c r="L47" i="5"/>
  <c r="X47" i="5" s="1"/>
  <c r="M47" i="5"/>
  <c r="Y47" i="5" s="1"/>
  <c r="N47" i="5"/>
  <c r="Z47" i="5" s="1"/>
  <c r="I48" i="5"/>
  <c r="U48" i="5" s="1"/>
  <c r="J48" i="5"/>
  <c r="V48" i="5" s="1"/>
  <c r="K48" i="5"/>
  <c r="W48" i="5" s="1"/>
  <c r="L48" i="5"/>
  <c r="X48" i="5" s="1"/>
  <c r="M48" i="5"/>
  <c r="N48" i="5"/>
  <c r="Z48" i="5" s="1"/>
  <c r="I49" i="5"/>
  <c r="U49" i="5" s="1"/>
  <c r="J49" i="5"/>
  <c r="V49" i="5" s="1"/>
  <c r="K49" i="5"/>
  <c r="W49" i="5" s="1"/>
  <c r="L49" i="5"/>
  <c r="X49" i="5" s="1"/>
  <c r="M49" i="5"/>
  <c r="Y49" i="5" s="1"/>
  <c r="N49" i="5"/>
  <c r="Z49" i="5" s="1"/>
  <c r="I50" i="5"/>
  <c r="J50" i="5"/>
  <c r="V50" i="5" s="1"/>
  <c r="K50" i="5"/>
  <c r="W50" i="5" s="1"/>
  <c r="L50" i="5"/>
  <c r="X50" i="5" s="1"/>
  <c r="M50" i="5"/>
  <c r="Y50" i="5" s="1"/>
  <c r="N50" i="5"/>
  <c r="Z50" i="5" s="1"/>
  <c r="I51" i="5"/>
  <c r="U51" i="5" s="1"/>
  <c r="J51" i="5"/>
  <c r="V51" i="5" s="1"/>
  <c r="K51" i="5"/>
  <c r="W51" i="5" s="1"/>
  <c r="L51" i="5"/>
  <c r="X51" i="5" s="1"/>
  <c r="M51" i="5"/>
  <c r="Y51" i="5" s="1"/>
  <c r="N51" i="5"/>
  <c r="Z51" i="5" s="1"/>
  <c r="I52" i="5"/>
  <c r="U52" i="5" s="1"/>
  <c r="J52" i="5"/>
  <c r="V52" i="5" s="1"/>
  <c r="K52" i="5"/>
  <c r="W52" i="5" s="1"/>
  <c r="L52" i="5"/>
  <c r="X52" i="5" s="1"/>
  <c r="M52" i="5"/>
  <c r="Y52" i="5" s="1"/>
  <c r="N52" i="5"/>
  <c r="Z52" i="5" s="1"/>
  <c r="I53" i="5"/>
  <c r="U53" i="5" s="1"/>
  <c r="J53" i="5"/>
  <c r="V53" i="5" s="1"/>
  <c r="K53" i="5"/>
  <c r="W53" i="5" s="1"/>
  <c r="L53" i="5"/>
  <c r="X53" i="5" s="1"/>
  <c r="M53" i="5"/>
  <c r="Y53" i="5" s="1"/>
  <c r="N53" i="5"/>
  <c r="Z53" i="5" s="1"/>
  <c r="I54" i="5"/>
  <c r="J54" i="5"/>
  <c r="V54" i="5" s="1"/>
  <c r="K54" i="5"/>
  <c r="W54" i="5" s="1"/>
  <c r="L54" i="5"/>
  <c r="X54" i="5" s="1"/>
  <c r="M54" i="5"/>
  <c r="Y54" i="5" s="1"/>
  <c r="N54" i="5"/>
  <c r="Z54" i="5" s="1"/>
  <c r="I55" i="5"/>
  <c r="U55" i="5" s="1"/>
  <c r="AA55" i="5" s="1"/>
  <c r="AB55" i="5" s="1"/>
  <c r="J55" i="5"/>
  <c r="K55" i="5"/>
  <c r="L55" i="5"/>
  <c r="X55" i="5" s="1"/>
  <c r="M55" i="5"/>
  <c r="Y55" i="5" s="1"/>
  <c r="N55" i="5"/>
  <c r="Z55" i="5" s="1"/>
  <c r="I56" i="5"/>
  <c r="U56" i="5" s="1"/>
  <c r="J56" i="5"/>
  <c r="V56" i="5" s="1"/>
  <c r="K56" i="5"/>
  <c r="W56" i="5" s="1"/>
  <c r="L56" i="5"/>
  <c r="M56" i="5"/>
  <c r="N56" i="5"/>
  <c r="Z56" i="5" s="1"/>
  <c r="I57" i="5"/>
  <c r="U57" i="5" s="1"/>
  <c r="AA57" i="5" s="1"/>
  <c r="AB57" i="5" s="1"/>
  <c r="J57" i="5"/>
  <c r="V57" i="5" s="1"/>
  <c r="K57" i="5"/>
  <c r="W57" i="5" s="1"/>
  <c r="L57" i="5"/>
  <c r="X57" i="5" s="1"/>
  <c r="M57" i="5"/>
  <c r="Y57" i="5" s="1"/>
  <c r="N57" i="5"/>
  <c r="Z57" i="5" s="1"/>
  <c r="I58" i="5"/>
  <c r="U58" i="5" s="1"/>
  <c r="AA58" i="5" s="1"/>
  <c r="AB58" i="5" s="1"/>
  <c r="J58" i="5"/>
  <c r="V58" i="5" s="1"/>
  <c r="K58" i="5"/>
  <c r="W58" i="5" s="1"/>
  <c r="L58" i="5"/>
  <c r="X58" i="5" s="1"/>
  <c r="M58" i="5"/>
  <c r="Y58" i="5" s="1"/>
  <c r="N58" i="5"/>
  <c r="Z58" i="5" s="1"/>
  <c r="I59" i="5"/>
  <c r="U59" i="5" s="1"/>
  <c r="J59" i="5"/>
  <c r="V59" i="5" s="1"/>
  <c r="K59" i="5"/>
  <c r="L59" i="5"/>
  <c r="X59" i="5" s="1"/>
  <c r="M59" i="5"/>
  <c r="Y59" i="5" s="1"/>
  <c r="N59" i="5"/>
  <c r="Z59" i="5" s="1"/>
  <c r="I60" i="5"/>
  <c r="U60" i="5" s="1"/>
  <c r="J60" i="5"/>
  <c r="V60" i="5" s="1"/>
  <c r="K60" i="5"/>
  <c r="W60" i="5" s="1"/>
  <c r="L60" i="5"/>
  <c r="M60" i="5"/>
  <c r="N60" i="5"/>
  <c r="Z60" i="5" s="1"/>
  <c r="I61" i="5"/>
  <c r="U61" i="5" s="1"/>
  <c r="J61" i="5"/>
  <c r="V61" i="5" s="1"/>
  <c r="K61" i="5"/>
  <c r="W61" i="5" s="1"/>
  <c r="AA61" i="5" s="1"/>
  <c r="AB61" i="5" s="1"/>
  <c r="L61" i="5"/>
  <c r="X61" i="5" s="1"/>
  <c r="M61" i="5"/>
  <c r="Y61" i="5" s="1"/>
  <c r="N61" i="5"/>
  <c r="I62" i="5"/>
  <c r="J62" i="5"/>
  <c r="V62" i="5" s="1"/>
  <c r="K62" i="5"/>
  <c r="W62" i="5" s="1"/>
  <c r="L62" i="5"/>
  <c r="X62" i="5" s="1"/>
  <c r="M62" i="5"/>
  <c r="Y62" i="5" s="1"/>
  <c r="N62" i="5"/>
  <c r="Z62" i="5" s="1"/>
  <c r="I63" i="5"/>
  <c r="U63" i="5" s="1"/>
  <c r="AA63" i="5" s="1"/>
  <c r="AB63" i="5" s="1"/>
  <c r="J63" i="5"/>
  <c r="V63" i="5" s="1"/>
  <c r="K63" i="5"/>
  <c r="W63" i="5" s="1"/>
  <c r="L63" i="5"/>
  <c r="M63" i="5"/>
  <c r="N63" i="5"/>
  <c r="Z63" i="5" s="1"/>
  <c r="J35" i="5"/>
  <c r="K35" i="5"/>
  <c r="L35" i="5"/>
  <c r="M35" i="5"/>
  <c r="Y35" i="5" s="1"/>
  <c r="N35" i="5"/>
  <c r="Z35" i="5" s="1"/>
  <c r="I35" i="5"/>
  <c r="AC16" i="5"/>
  <c r="AC17" i="5"/>
  <c r="AC18" i="5"/>
  <c r="AC19" i="5"/>
  <c r="AC20" i="5"/>
  <c r="AC21" i="5"/>
  <c r="AC22" i="5"/>
  <c r="AC23" i="5"/>
  <c r="AC24" i="5"/>
  <c r="AC25" i="5"/>
  <c r="AC26" i="5"/>
  <c r="AC27" i="5"/>
  <c r="AC28" i="5"/>
  <c r="AC29" i="5"/>
  <c r="AC30" i="5"/>
  <c r="AC31" i="5"/>
  <c r="AC32" i="5"/>
  <c r="AC5" i="5"/>
  <c r="AC6" i="5"/>
  <c r="AC7" i="5"/>
  <c r="AC8" i="5"/>
  <c r="AC9" i="5"/>
  <c r="AC10" i="5"/>
  <c r="AC11" i="5"/>
  <c r="AC12" i="5"/>
  <c r="AC13" i="5"/>
  <c r="AC14" i="5"/>
  <c r="AC15" i="5"/>
  <c r="AB17" i="5"/>
  <c r="Z20" i="5"/>
  <c r="Z27" i="5"/>
  <c r="Z28" i="5"/>
  <c r="Y16" i="5"/>
  <c r="Y17" i="5"/>
  <c r="Y18" i="5"/>
  <c r="Y19" i="5"/>
  <c r="Y24" i="5"/>
  <c r="Y25" i="5"/>
  <c r="Y26" i="5"/>
  <c r="Y27" i="5"/>
  <c r="Y32" i="5"/>
  <c r="X16" i="5"/>
  <c r="X17" i="5"/>
  <c r="X21" i="5"/>
  <c r="X24" i="5"/>
  <c r="X25" i="5"/>
  <c r="X26" i="5"/>
  <c r="X29" i="5"/>
  <c r="X32" i="5"/>
  <c r="W16" i="5"/>
  <c r="W17" i="5"/>
  <c r="W24" i="5"/>
  <c r="W25" i="5"/>
  <c r="W32" i="5"/>
  <c r="V16" i="5"/>
  <c r="V20" i="5"/>
  <c r="V21" i="5"/>
  <c r="V22" i="5"/>
  <c r="V23" i="5"/>
  <c r="V24" i="5"/>
  <c r="V28" i="5"/>
  <c r="V29" i="5"/>
  <c r="V30" i="5"/>
  <c r="V31" i="5"/>
  <c r="V32" i="5"/>
  <c r="U19" i="5"/>
  <c r="U20" i="5"/>
  <c r="U21" i="5"/>
  <c r="U22" i="5"/>
  <c r="U23" i="5"/>
  <c r="AA23" i="5" s="1"/>
  <c r="AB23" i="5" s="1"/>
  <c r="U27" i="5"/>
  <c r="U28" i="5"/>
  <c r="U29" i="5"/>
  <c r="U30" i="5"/>
  <c r="U31" i="5"/>
  <c r="U7" i="5"/>
  <c r="U8" i="5"/>
  <c r="U9" i="5"/>
  <c r="U10" i="5"/>
  <c r="U11" i="5"/>
  <c r="U15" i="5"/>
  <c r="N16" i="5"/>
  <c r="Z16" i="5" s="1"/>
  <c r="N17" i="5"/>
  <c r="Z17" i="5" s="1"/>
  <c r="N18" i="5"/>
  <c r="N19" i="5"/>
  <c r="N20" i="5"/>
  <c r="N21" i="5"/>
  <c r="Z21" i="5" s="1"/>
  <c r="AA21" i="5" s="1"/>
  <c r="AB21" i="5" s="1"/>
  <c r="N22" i="5"/>
  <c r="Z22" i="5" s="1"/>
  <c r="N23" i="5"/>
  <c r="Z23" i="5" s="1"/>
  <c r="N24" i="5"/>
  <c r="Z24" i="5" s="1"/>
  <c r="N25" i="5"/>
  <c r="Z25" i="5" s="1"/>
  <c r="N26" i="5"/>
  <c r="Z26" i="5" s="1"/>
  <c r="N27" i="5"/>
  <c r="N28" i="5"/>
  <c r="N29" i="5"/>
  <c r="Z29" i="5" s="1"/>
  <c r="N30" i="5"/>
  <c r="Z30" i="5" s="1"/>
  <c r="N31" i="5"/>
  <c r="Z31" i="5" s="1"/>
  <c r="N32" i="5"/>
  <c r="Z32" i="5" s="1"/>
  <c r="N5" i="5"/>
  <c r="N6" i="5"/>
  <c r="N7" i="5"/>
  <c r="N8" i="5"/>
  <c r="N9" i="5"/>
  <c r="N10" i="5"/>
  <c r="N11" i="5"/>
  <c r="N12" i="5"/>
  <c r="N13" i="5"/>
  <c r="N14" i="5"/>
  <c r="N15" i="5"/>
  <c r="M16" i="5"/>
  <c r="M17" i="5"/>
  <c r="M18" i="5"/>
  <c r="M19" i="5"/>
  <c r="M20" i="5"/>
  <c r="M21" i="5"/>
  <c r="Y21" i="5" s="1"/>
  <c r="M22" i="5"/>
  <c r="Y22" i="5" s="1"/>
  <c r="M23" i="5"/>
  <c r="Y23" i="5" s="1"/>
  <c r="M24" i="5"/>
  <c r="M25" i="5"/>
  <c r="M26" i="5"/>
  <c r="M27" i="5"/>
  <c r="M28" i="5"/>
  <c r="Y28" i="5" s="1"/>
  <c r="M29" i="5"/>
  <c r="Y29" i="5" s="1"/>
  <c r="M30" i="5"/>
  <c r="Y30" i="5" s="1"/>
  <c r="M31" i="5"/>
  <c r="Y31" i="5" s="1"/>
  <c r="M32" i="5"/>
  <c r="M5" i="5"/>
  <c r="M6" i="5"/>
  <c r="M7" i="5"/>
  <c r="M8" i="5"/>
  <c r="M9" i="5"/>
  <c r="M10" i="5"/>
  <c r="M11" i="5"/>
  <c r="M12" i="5"/>
  <c r="M13" i="5"/>
  <c r="M14" i="5"/>
  <c r="M15" i="5"/>
  <c r="L16" i="5"/>
  <c r="L17" i="5"/>
  <c r="L18" i="5"/>
  <c r="X18" i="5" s="1"/>
  <c r="L19" i="5"/>
  <c r="X19" i="5" s="1"/>
  <c r="L20" i="5"/>
  <c r="X20" i="5" s="1"/>
  <c r="L21" i="5"/>
  <c r="L22" i="5"/>
  <c r="X22" i="5" s="1"/>
  <c r="L23" i="5"/>
  <c r="X23" i="5" s="1"/>
  <c r="L24" i="5"/>
  <c r="L25" i="5"/>
  <c r="L26" i="5"/>
  <c r="L27" i="5"/>
  <c r="X27" i="5" s="1"/>
  <c r="L28" i="5"/>
  <c r="X28" i="5" s="1"/>
  <c r="L29" i="5"/>
  <c r="L30" i="5"/>
  <c r="X30" i="5" s="1"/>
  <c r="L31" i="5"/>
  <c r="X31" i="5" s="1"/>
  <c r="L32" i="5"/>
  <c r="L5" i="5"/>
  <c r="L6" i="5"/>
  <c r="L7" i="5"/>
  <c r="L8" i="5"/>
  <c r="L9" i="5"/>
  <c r="L10" i="5"/>
  <c r="L11" i="5"/>
  <c r="L12" i="5"/>
  <c r="L13" i="5"/>
  <c r="L14" i="5"/>
  <c r="L15" i="5"/>
  <c r="K16" i="5"/>
  <c r="K17" i="5"/>
  <c r="K18" i="5"/>
  <c r="W18" i="5" s="1"/>
  <c r="K19" i="5"/>
  <c r="K20" i="5"/>
  <c r="W20" i="5" s="1"/>
  <c r="K21" i="5"/>
  <c r="W21" i="5" s="1"/>
  <c r="K22" i="5"/>
  <c r="W22" i="5" s="1"/>
  <c r="K23" i="5"/>
  <c r="W23" i="5" s="1"/>
  <c r="K24" i="5"/>
  <c r="K25" i="5"/>
  <c r="K26" i="5"/>
  <c r="W26" i="5" s="1"/>
  <c r="K27" i="5"/>
  <c r="W27" i="5" s="1"/>
  <c r="K28" i="5"/>
  <c r="W28" i="5" s="1"/>
  <c r="AA28" i="5" s="1"/>
  <c r="AB28" i="5" s="1"/>
  <c r="K29" i="5"/>
  <c r="W29" i="5" s="1"/>
  <c r="AA29" i="5" s="1"/>
  <c r="AB29" i="5" s="1"/>
  <c r="K30" i="5"/>
  <c r="W30" i="5" s="1"/>
  <c r="K31" i="5"/>
  <c r="W31" i="5" s="1"/>
  <c r="K32" i="5"/>
  <c r="K5" i="5"/>
  <c r="K6" i="5"/>
  <c r="K7" i="5"/>
  <c r="K8" i="5"/>
  <c r="K9" i="5"/>
  <c r="K10" i="5"/>
  <c r="K11" i="5"/>
  <c r="K12" i="5"/>
  <c r="K13" i="5"/>
  <c r="K14" i="5"/>
  <c r="K15" i="5"/>
  <c r="J16" i="5"/>
  <c r="J17" i="5"/>
  <c r="V17" i="5" s="1"/>
  <c r="J18" i="5"/>
  <c r="V18" i="5" s="1"/>
  <c r="J19" i="5"/>
  <c r="J20" i="5"/>
  <c r="J21" i="5"/>
  <c r="J22" i="5"/>
  <c r="J23" i="5"/>
  <c r="J24" i="5"/>
  <c r="J25" i="5"/>
  <c r="V25" i="5" s="1"/>
  <c r="J26" i="5"/>
  <c r="V26" i="5" s="1"/>
  <c r="J27" i="5"/>
  <c r="V27" i="5" s="1"/>
  <c r="J28" i="5"/>
  <c r="J29" i="5"/>
  <c r="J30" i="5"/>
  <c r="J31" i="5"/>
  <c r="J32" i="5"/>
  <c r="J5" i="5"/>
  <c r="J6" i="5"/>
  <c r="J7" i="5"/>
  <c r="J8" i="5"/>
  <c r="J9" i="5"/>
  <c r="J10" i="5"/>
  <c r="J11" i="5"/>
  <c r="J12" i="5"/>
  <c r="J13" i="5"/>
  <c r="J14" i="5"/>
  <c r="J15" i="5"/>
  <c r="J4" i="5"/>
  <c r="K4" i="5"/>
  <c r="AG6" i="5" s="1"/>
  <c r="L4" i="5"/>
  <c r="AH6" i="5" s="1"/>
  <c r="M4" i="5"/>
  <c r="AI6" i="5" s="1"/>
  <c r="N4" i="5"/>
  <c r="I16" i="5"/>
  <c r="U16" i="5" s="1"/>
  <c r="I17" i="5"/>
  <c r="U17" i="5" s="1"/>
  <c r="AA17" i="5" s="1"/>
  <c r="I18" i="5"/>
  <c r="U18" i="5" s="1"/>
  <c r="I19" i="5"/>
  <c r="I20" i="5"/>
  <c r="I21" i="5"/>
  <c r="I22" i="5"/>
  <c r="I23" i="5"/>
  <c r="I24" i="5"/>
  <c r="U24" i="5" s="1"/>
  <c r="AA24" i="5" s="1"/>
  <c r="AB24" i="5" s="1"/>
  <c r="I25" i="5"/>
  <c r="U25" i="5" s="1"/>
  <c r="I26" i="5"/>
  <c r="U26" i="5" s="1"/>
  <c r="I27" i="5"/>
  <c r="I28" i="5"/>
  <c r="I29" i="5"/>
  <c r="I30" i="5"/>
  <c r="I31" i="5"/>
  <c r="I32" i="5"/>
  <c r="U32" i="5" s="1"/>
  <c r="I5" i="5"/>
  <c r="I6" i="5"/>
  <c r="U6" i="5" s="1"/>
  <c r="I7" i="5"/>
  <c r="I8" i="5"/>
  <c r="I9" i="5"/>
  <c r="I10" i="5"/>
  <c r="I11" i="5"/>
  <c r="I12" i="5"/>
  <c r="U12" i="5" s="1"/>
  <c r="I13" i="5"/>
  <c r="U13" i="5" s="1"/>
  <c r="I14" i="5"/>
  <c r="U14" i="5" s="1"/>
  <c r="I15" i="5"/>
  <c r="I4" i="5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R52" i="4" s="1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Q40" i="4"/>
  <c r="P40" i="4"/>
  <c r="O40" i="4"/>
  <c r="N40" i="4"/>
  <c r="M40" i="4"/>
  <c r="L40" i="4"/>
  <c r="K40" i="4"/>
  <c r="J40" i="4"/>
  <c r="I40" i="4"/>
  <c r="H40" i="4"/>
  <c r="G40" i="4"/>
  <c r="S40" i="4" s="1"/>
  <c r="F40" i="4"/>
  <c r="E40" i="4"/>
  <c r="D40" i="4"/>
  <c r="C40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W38" i="4" s="1"/>
  <c r="D38" i="4"/>
  <c r="C38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C60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C59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C58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C57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C56" i="3"/>
  <c r="Q55" i="3"/>
  <c r="P55" i="3"/>
  <c r="O55" i="3"/>
  <c r="N55" i="3"/>
  <c r="M55" i="3"/>
  <c r="L55" i="3"/>
  <c r="K55" i="3"/>
  <c r="J55" i="3"/>
  <c r="I55" i="3"/>
  <c r="H55" i="3"/>
  <c r="G55" i="3"/>
  <c r="F55" i="3"/>
  <c r="V55" i="3" s="1"/>
  <c r="E55" i="3"/>
  <c r="D55" i="3"/>
  <c r="C55" i="3"/>
  <c r="W55" i="3" s="1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U54" i="3" s="1"/>
  <c r="D54" i="3"/>
  <c r="C54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C53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C52" i="3"/>
  <c r="W52" i="3" s="1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C51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C50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C49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C48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C47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C46" i="3"/>
  <c r="U46" i="3" s="1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C45" i="3"/>
  <c r="S45" i="3" s="1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C44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C43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T42" i="3" s="1"/>
  <c r="C42" i="3"/>
  <c r="U42" i="3" s="1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C41" i="3"/>
  <c r="R41" i="3" s="1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C39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C38" i="3"/>
  <c r="U38" i="3" s="1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C37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C35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U34" i="3" s="1"/>
  <c r="D34" i="3"/>
  <c r="C34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C33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C32" i="3"/>
  <c r="W32" i="3" s="1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32" i="2"/>
  <c r="AA43" i="5" l="1"/>
  <c r="AB43" i="5" s="1"/>
  <c r="AA52" i="5"/>
  <c r="AB52" i="5" s="1"/>
  <c r="AA44" i="5"/>
  <c r="AB44" i="5" s="1"/>
  <c r="AA36" i="5"/>
  <c r="AB36" i="5" s="1"/>
  <c r="AA26" i="5"/>
  <c r="AB26" i="5" s="1"/>
  <c r="AA27" i="5"/>
  <c r="AB27" i="5" s="1"/>
  <c r="V19" i="5"/>
  <c r="AJ7" i="5"/>
  <c r="AA22" i="5"/>
  <c r="AB22" i="5" s="1"/>
  <c r="AA35" i="5"/>
  <c r="AB35" i="5" s="1"/>
  <c r="AA54" i="5"/>
  <c r="AB54" i="5" s="1"/>
  <c r="AA87" i="5"/>
  <c r="AB87" i="5" s="1"/>
  <c r="AA85" i="5"/>
  <c r="AB85" i="5" s="1"/>
  <c r="AA78" i="5"/>
  <c r="AB78" i="5" s="1"/>
  <c r="AA73" i="5"/>
  <c r="AB73" i="5" s="1"/>
  <c r="AA56" i="5"/>
  <c r="AB56" i="5" s="1"/>
  <c r="AE6" i="5"/>
  <c r="U5" i="5"/>
  <c r="AA25" i="5"/>
  <c r="AB25" i="5" s="1"/>
  <c r="Z18" i="5"/>
  <c r="AA18" i="5" s="1"/>
  <c r="AB18" i="5" s="1"/>
  <c r="Z19" i="5"/>
  <c r="AA53" i="5"/>
  <c r="AB53" i="5" s="1"/>
  <c r="AA49" i="5"/>
  <c r="AB49" i="5" s="1"/>
  <c r="AA45" i="5"/>
  <c r="AB45" i="5" s="1"/>
  <c r="AA41" i="5"/>
  <c r="AB41" i="5" s="1"/>
  <c r="AA90" i="5"/>
  <c r="AB90" i="5" s="1"/>
  <c r="AA59" i="5"/>
  <c r="AB59" i="5" s="1"/>
  <c r="AA51" i="5"/>
  <c r="AB51" i="5" s="1"/>
  <c r="AA89" i="5"/>
  <c r="AB89" i="5" s="1"/>
  <c r="AA48" i="5"/>
  <c r="AB48" i="5" s="1"/>
  <c r="AA40" i="5"/>
  <c r="AB40" i="5" s="1"/>
  <c r="AA46" i="5"/>
  <c r="AB46" i="5" s="1"/>
  <c r="AA32" i="5"/>
  <c r="AB32" i="5" s="1"/>
  <c r="AA16" i="5"/>
  <c r="AB16" i="5" s="1"/>
  <c r="AF6" i="5"/>
  <c r="AA31" i="5"/>
  <c r="AB31" i="5" s="1"/>
  <c r="AA42" i="5"/>
  <c r="AB42" i="5" s="1"/>
  <c r="AA71" i="5"/>
  <c r="AB71" i="5" s="1"/>
  <c r="AA81" i="5"/>
  <c r="AB81" i="5" s="1"/>
  <c r="AA70" i="5"/>
  <c r="AB70" i="5" s="1"/>
  <c r="AA60" i="5"/>
  <c r="AB60" i="5" s="1"/>
  <c r="AJ6" i="5"/>
  <c r="AA30" i="5"/>
  <c r="AB30" i="5" s="1"/>
  <c r="AA77" i="5"/>
  <c r="AB77" i="5" s="1"/>
  <c r="AA62" i="5"/>
  <c r="AB62" i="5" s="1"/>
  <c r="AA72" i="5"/>
  <c r="AB72" i="5" s="1"/>
  <c r="AA68" i="5"/>
  <c r="AB68" i="5" s="1"/>
  <c r="AA93" i="5"/>
  <c r="AB93" i="5" s="1"/>
  <c r="AA86" i="5"/>
  <c r="AB86" i="5" s="1"/>
  <c r="AA79" i="5"/>
  <c r="AB79" i="5" s="1"/>
  <c r="AA69" i="5"/>
  <c r="AB69" i="5" s="1"/>
  <c r="AA66" i="5"/>
  <c r="AB66" i="5" s="1"/>
  <c r="AA82" i="5"/>
  <c r="AB82" i="5" s="1"/>
  <c r="AA74" i="5"/>
  <c r="AB74" i="5" s="1"/>
  <c r="AJ8" i="5"/>
  <c r="Z43" i="5"/>
  <c r="X38" i="5"/>
  <c r="V37" i="5"/>
  <c r="W19" i="5"/>
  <c r="Y39" i="5"/>
  <c r="AA39" i="5" s="1"/>
  <c r="AB39" i="5" s="1"/>
  <c r="W38" i="5"/>
  <c r="AA38" i="5" s="1"/>
  <c r="AB38" i="5" s="1"/>
  <c r="U37" i="5"/>
  <c r="AA37" i="5" s="1"/>
  <c r="AB37" i="5" s="1"/>
  <c r="Y20" i="5"/>
  <c r="AA20" i="5" s="1"/>
  <c r="AB20" i="5" s="1"/>
  <c r="U37" i="4"/>
  <c r="S31" i="4"/>
  <c r="S33" i="4"/>
  <c r="T34" i="4"/>
  <c r="W46" i="4"/>
  <c r="U49" i="4"/>
  <c r="U45" i="4"/>
  <c r="S48" i="4"/>
  <c r="V38" i="4"/>
  <c r="S44" i="4"/>
  <c r="W34" i="4"/>
  <c r="R42" i="4"/>
  <c r="U41" i="4"/>
  <c r="R32" i="4"/>
  <c r="T33" i="4"/>
  <c r="R38" i="4"/>
  <c r="S47" i="4"/>
  <c r="W51" i="4"/>
  <c r="W53" i="4"/>
  <c r="R34" i="4"/>
  <c r="W42" i="4"/>
  <c r="R44" i="4"/>
  <c r="S45" i="4"/>
  <c r="U46" i="4"/>
  <c r="W47" i="4"/>
  <c r="T49" i="4"/>
  <c r="V50" i="4"/>
  <c r="T57" i="4"/>
  <c r="W31" i="4"/>
  <c r="U50" i="4"/>
  <c r="V58" i="4"/>
  <c r="R40" i="4"/>
  <c r="S41" i="4"/>
  <c r="U42" i="4"/>
  <c r="W43" i="4"/>
  <c r="T45" i="4"/>
  <c r="V46" i="4"/>
  <c r="W49" i="4"/>
  <c r="R56" i="4"/>
  <c r="V34" i="4"/>
  <c r="S49" i="4"/>
  <c r="S37" i="4"/>
  <c r="U38" i="4"/>
  <c r="W39" i="4"/>
  <c r="T41" i="4"/>
  <c r="T42" i="4"/>
  <c r="W45" i="4"/>
  <c r="W55" i="4"/>
  <c r="W57" i="4"/>
  <c r="R36" i="4"/>
  <c r="T37" i="4"/>
  <c r="T38" i="4"/>
  <c r="W41" i="4"/>
  <c r="R50" i="4"/>
  <c r="V54" i="4"/>
  <c r="W58" i="4"/>
  <c r="W33" i="4"/>
  <c r="S43" i="4"/>
  <c r="R48" i="4"/>
  <c r="W54" i="4"/>
  <c r="U34" i="4"/>
  <c r="W35" i="4"/>
  <c r="W37" i="4"/>
  <c r="V42" i="4"/>
  <c r="R46" i="4"/>
  <c r="T53" i="4"/>
  <c r="T54" i="4"/>
  <c r="W50" i="4"/>
  <c r="S52" i="4"/>
  <c r="U53" i="4"/>
  <c r="S56" i="4"/>
  <c r="U57" i="4"/>
  <c r="R31" i="4"/>
  <c r="T32" i="4"/>
  <c r="V33" i="4"/>
  <c r="R35" i="4"/>
  <c r="T36" i="4"/>
  <c r="V37" i="4"/>
  <c r="R39" i="4"/>
  <c r="T40" i="4"/>
  <c r="V41" i="4"/>
  <c r="R43" i="4"/>
  <c r="T44" i="4"/>
  <c r="V45" i="4"/>
  <c r="R47" i="4"/>
  <c r="T48" i="4"/>
  <c r="V49" i="4"/>
  <c r="R51" i="4"/>
  <c r="T52" i="4"/>
  <c r="V53" i="4"/>
  <c r="R55" i="4"/>
  <c r="T56" i="4"/>
  <c r="V57" i="4"/>
  <c r="S39" i="4"/>
  <c r="T31" i="4"/>
  <c r="V32" i="4"/>
  <c r="T35" i="4"/>
  <c r="V36" i="4"/>
  <c r="T39" i="4"/>
  <c r="V40" i="4"/>
  <c r="T43" i="4"/>
  <c r="V44" i="4"/>
  <c r="T47" i="4"/>
  <c r="V48" i="4"/>
  <c r="T51" i="4"/>
  <c r="V52" i="4"/>
  <c r="R54" i="4"/>
  <c r="T55" i="4"/>
  <c r="V56" i="4"/>
  <c r="R58" i="4"/>
  <c r="U33" i="4"/>
  <c r="U32" i="4"/>
  <c r="U31" i="4"/>
  <c r="W32" i="4"/>
  <c r="S34" i="4"/>
  <c r="U35" i="4"/>
  <c r="W36" i="4"/>
  <c r="S38" i="4"/>
  <c r="U39" i="4"/>
  <c r="W40" i="4"/>
  <c r="S42" i="4"/>
  <c r="U43" i="4"/>
  <c r="W44" i="4"/>
  <c r="S46" i="4"/>
  <c r="U47" i="4"/>
  <c r="W48" i="4"/>
  <c r="S50" i="4"/>
  <c r="U51" i="4"/>
  <c r="W52" i="4"/>
  <c r="S54" i="4"/>
  <c r="U55" i="4"/>
  <c r="W56" i="4"/>
  <c r="S58" i="4"/>
  <c r="U36" i="4"/>
  <c r="U40" i="4"/>
  <c r="U44" i="4"/>
  <c r="U48" i="4"/>
  <c r="U56" i="4"/>
  <c r="V31" i="4"/>
  <c r="R33" i="4"/>
  <c r="V35" i="4"/>
  <c r="R37" i="4"/>
  <c r="V39" i="4"/>
  <c r="R41" i="4"/>
  <c r="X41" i="4" s="1"/>
  <c r="V43" i="4"/>
  <c r="R45" i="4"/>
  <c r="T46" i="4"/>
  <c r="V47" i="4"/>
  <c r="R49" i="4"/>
  <c r="T50" i="4"/>
  <c r="V51" i="4"/>
  <c r="R53" i="4"/>
  <c r="V55" i="4"/>
  <c r="R57" i="4"/>
  <c r="T58" i="4"/>
  <c r="S35" i="4"/>
  <c r="S51" i="4"/>
  <c r="S55" i="4"/>
  <c r="S53" i="4"/>
  <c r="U54" i="4"/>
  <c r="S57" i="4"/>
  <c r="U58" i="4"/>
  <c r="S32" i="4"/>
  <c r="X32" i="4" s="1"/>
  <c r="S36" i="4"/>
  <c r="U52" i="4"/>
  <c r="U32" i="3"/>
  <c r="R35" i="3"/>
  <c r="W35" i="3"/>
  <c r="W40" i="3"/>
  <c r="V42" i="3"/>
  <c r="W47" i="3"/>
  <c r="U51" i="3"/>
  <c r="W60" i="3"/>
  <c r="R48" i="3"/>
  <c r="R37" i="3"/>
  <c r="T38" i="3"/>
  <c r="W43" i="3"/>
  <c r="R49" i="3"/>
  <c r="T50" i="3"/>
  <c r="R56" i="3"/>
  <c r="S58" i="3"/>
  <c r="S50" i="3"/>
  <c r="W36" i="3"/>
  <c r="V38" i="3"/>
  <c r="R44" i="3"/>
  <c r="W48" i="3"/>
  <c r="U50" i="3"/>
  <c r="V51" i="3"/>
  <c r="R57" i="3"/>
  <c r="T58" i="3"/>
  <c r="V39" i="3"/>
  <c r="V35" i="3"/>
  <c r="T36" i="3"/>
  <c r="R45" i="3"/>
  <c r="S46" i="3"/>
  <c r="U47" i="3"/>
  <c r="W51" i="3"/>
  <c r="U55" i="3"/>
  <c r="W56" i="3"/>
  <c r="U58" i="3"/>
  <c r="V47" i="3"/>
  <c r="T40" i="3"/>
  <c r="S34" i="3"/>
  <c r="W39" i="3"/>
  <c r="W44" i="3"/>
  <c r="T46" i="3"/>
  <c r="R52" i="3"/>
  <c r="S54" i="3"/>
  <c r="T56" i="3"/>
  <c r="W59" i="3"/>
  <c r="S38" i="3"/>
  <c r="V43" i="3"/>
  <c r="V59" i="3"/>
  <c r="R33" i="3"/>
  <c r="S33" i="3"/>
  <c r="T34" i="3"/>
  <c r="U40" i="3"/>
  <c r="S42" i="3"/>
  <c r="U43" i="3"/>
  <c r="V46" i="3"/>
  <c r="R53" i="3"/>
  <c r="T54" i="3"/>
  <c r="R60" i="3"/>
  <c r="T33" i="3"/>
  <c r="V34" i="3"/>
  <c r="R36" i="3"/>
  <c r="T37" i="3"/>
  <c r="R40" i="3"/>
  <c r="T41" i="3"/>
  <c r="T45" i="3"/>
  <c r="T49" i="3"/>
  <c r="V50" i="3"/>
  <c r="T53" i="3"/>
  <c r="V54" i="3"/>
  <c r="T57" i="3"/>
  <c r="V58" i="3"/>
  <c r="S41" i="3"/>
  <c r="S49" i="3"/>
  <c r="S53" i="3"/>
  <c r="S57" i="3"/>
  <c r="X57" i="3" s="1"/>
  <c r="R32" i="3"/>
  <c r="S32" i="3"/>
  <c r="U33" i="3"/>
  <c r="W34" i="3"/>
  <c r="S36" i="3"/>
  <c r="U37" i="3"/>
  <c r="W38" i="3"/>
  <c r="S40" i="3"/>
  <c r="U41" i="3"/>
  <c r="W42" i="3"/>
  <c r="S44" i="3"/>
  <c r="U45" i="3"/>
  <c r="W46" i="3"/>
  <c r="S48" i="3"/>
  <c r="U49" i="3"/>
  <c r="W50" i="3"/>
  <c r="S52" i="3"/>
  <c r="U53" i="3"/>
  <c r="W54" i="3"/>
  <c r="S56" i="3"/>
  <c r="U57" i="3"/>
  <c r="W58" i="3"/>
  <c r="S60" i="3"/>
  <c r="S37" i="3"/>
  <c r="R39" i="3"/>
  <c r="V41" i="3"/>
  <c r="R43" i="3"/>
  <c r="T44" i="3"/>
  <c r="V45" i="3"/>
  <c r="R47" i="3"/>
  <c r="T48" i="3"/>
  <c r="V49" i="3"/>
  <c r="R51" i="3"/>
  <c r="T52" i="3"/>
  <c r="V53" i="3"/>
  <c r="R55" i="3"/>
  <c r="V57" i="3"/>
  <c r="R59" i="3"/>
  <c r="T60" i="3"/>
  <c r="W41" i="3"/>
  <c r="S43" i="3"/>
  <c r="U44" i="3"/>
  <c r="W45" i="3"/>
  <c r="S47" i="3"/>
  <c r="U48" i="3"/>
  <c r="W49" i="3"/>
  <c r="S51" i="3"/>
  <c r="U52" i="3"/>
  <c r="W53" i="3"/>
  <c r="S55" i="3"/>
  <c r="U56" i="3"/>
  <c r="W57" i="3"/>
  <c r="S59" i="3"/>
  <c r="U60" i="3"/>
  <c r="S35" i="3"/>
  <c r="U36" i="3"/>
  <c r="S39" i="3"/>
  <c r="V32" i="3"/>
  <c r="R34" i="3"/>
  <c r="T35" i="3"/>
  <c r="V36" i="3"/>
  <c r="R38" i="3"/>
  <c r="X38" i="3" s="1"/>
  <c r="T39" i="3"/>
  <c r="V40" i="3"/>
  <c r="R42" i="3"/>
  <c r="T43" i="3"/>
  <c r="V44" i="3"/>
  <c r="R46" i="3"/>
  <c r="X46" i="3" s="1"/>
  <c r="T47" i="3"/>
  <c r="V48" i="3"/>
  <c r="R50" i="3"/>
  <c r="X50" i="3" s="1"/>
  <c r="T51" i="3"/>
  <c r="V52" i="3"/>
  <c r="R54" i="3"/>
  <c r="X54" i="3" s="1"/>
  <c r="T55" i="3"/>
  <c r="V56" i="3"/>
  <c r="R58" i="3"/>
  <c r="T59" i="3"/>
  <c r="V60" i="3"/>
  <c r="T32" i="3"/>
  <c r="V33" i="3"/>
  <c r="V37" i="3"/>
  <c r="W33" i="3"/>
  <c r="W37" i="3"/>
  <c r="U35" i="3"/>
  <c r="U39" i="3"/>
  <c r="U59" i="3"/>
  <c r="X59" i="2"/>
  <c r="AL14" i="5" l="1"/>
  <c r="AK8" i="5"/>
  <c r="AA19" i="5"/>
  <c r="AB19" i="5" s="1"/>
  <c r="X42" i="4"/>
  <c r="X37" i="4"/>
  <c r="X49" i="4"/>
  <c r="X50" i="4"/>
  <c r="X36" i="4"/>
  <c r="X38" i="4"/>
  <c r="X51" i="4"/>
  <c r="X40" i="4"/>
  <c r="X33" i="4"/>
  <c r="X48" i="4"/>
  <c r="X46" i="4"/>
  <c r="X45" i="4"/>
  <c r="X56" i="4"/>
  <c r="X34" i="4"/>
  <c r="X52" i="4"/>
  <c r="X44" i="4"/>
  <c r="X39" i="4"/>
  <c r="X58" i="4"/>
  <c r="X54" i="4"/>
  <c r="X35" i="4"/>
  <c r="X53" i="4"/>
  <c r="X55" i="4"/>
  <c r="X47" i="4"/>
  <c r="X43" i="4"/>
  <c r="X57" i="4"/>
  <c r="X31" i="4"/>
  <c r="X56" i="3"/>
  <c r="X44" i="3"/>
  <c r="X52" i="3"/>
  <c r="X36" i="3"/>
  <c r="X51" i="3"/>
  <c r="X53" i="3"/>
  <c r="X37" i="3"/>
  <c r="X33" i="3"/>
  <c r="X35" i="3"/>
  <c r="X60" i="3"/>
  <c r="X47" i="3"/>
  <c r="X48" i="3"/>
  <c r="X49" i="3"/>
  <c r="X45" i="3"/>
  <c r="X41" i="3"/>
  <c r="X42" i="3"/>
  <c r="X32" i="3"/>
  <c r="X39" i="3"/>
  <c r="X59" i="3"/>
  <c r="X58" i="3"/>
  <c r="X55" i="3"/>
  <c r="X40" i="3"/>
  <c r="X34" i="3"/>
  <c r="X43" i="3"/>
  <c r="X57" i="2"/>
  <c r="X54" i="2"/>
  <c r="X52" i="2"/>
  <c r="X53" i="2"/>
  <c r="X56" i="2"/>
  <c r="X46" i="2"/>
  <c r="X33" i="2"/>
  <c r="X55" i="2"/>
  <c r="X47" i="2"/>
  <c r="X35" i="2"/>
  <c r="X50" i="2"/>
  <c r="X34" i="2"/>
  <c r="X37" i="2"/>
  <c r="X48" i="2"/>
  <c r="X51" i="2"/>
  <c r="AK7" i="5" l="1"/>
  <c r="X38" i="2"/>
  <c r="X49" i="2"/>
  <c r="X42" i="2"/>
  <c r="X39" i="2"/>
  <c r="X43" i="2"/>
  <c r="X60" i="2"/>
  <c r="X40" i="2"/>
  <c r="X58" i="2"/>
  <c r="X41" i="2"/>
  <c r="X32" i="2" l="1"/>
  <c r="X44" i="2"/>
  <c r="X36" i="2"/>
  <c r="X45" i="2"/>
  <c r="AC4" i="5"/>
  <c r="U4" i="5" l="1"/>
  <c r="W4" i="5"/>
  <c r="X11" i="5"/>
  <c r="W5" i="5"/>
  <c r="Z4" i="5"/>
  <c r="V15" i="5"/>
  <c r="Z10" i="5"/>
  <c r="X12" i="5"/>
  <c r="Y5" i="5"/>
  <c r="Y8" i="5"/>
  <c r="Y6" i="5"/>
  <c r="V4" i="5"/>
  <c r="Z6" i="5"/>
  <c r="W7" i="5"/>
  <c r="X13" i="5"/>
  <c r="Y10" i="5"/>
  <c r="V10" i="5"/>
  <c r="X4" i="5"/>
  <c r="V12" i="5"/>
  <c r="V11" i="5"/>
  <c r="Z8" i="5"/>
  <c r="W10" i="5"/>
  <c r="Y11" i="5"/>
  <c r="V8" i="5"/>
  <c r="Y12" i="5"/>
  <c r="Y4" i="5"/>
  <c r="X6" i="5"/>
  <c r="X8" i="5"/>
  <c r="Z14" i="5"/>
  <c r="X5" i="5"/>
  <c r="X10" i="5"/>
  <c r="X7" i="5"/>
  <c r="V7" i="5"/>
  <c r="V9" i="5"/>
  <c r="Z7" i="5"/>
  <c r="W11" i="5"/>
  <c r="W15" i="5"/>
  <c r="Z13" i="5"/>
  <c r="W13" i="5"/>
  <c r="V5" i="5"/>
  <c r="Y14" i="5"/>
  <c r="Z5" i="5"/>
  <c r="V14" i="5"/>
  <c r="W8" i="5"/>
  <c r="Z11" i="5"/>
  <c r="W14" i="5"/>
  <c r="Z15" i="5"/>
  <c r="W6" i="5"/>
  <c r="W9" i="5"/>
  <c r="W12" i="5"/>
  <c r="Y7" i="5"/>
  <c r="Z9" i="5"/>
  <c r="V6" i="5"/>
  <c r="V13" i="5"/>
  <c r="X9" i="5"/>
  <c r="Y9" i="5"/>
  <c r="X15" i="5"/>
  <c r="Z12" i="5"/>
  <c r="Y15" i="5"/>
  <c r="X14" i="5"/>
  <c r="Y13" i="5"/>
  <c r="AA4" i="5" l="1"/>
  <c r="AB4" i="5" s="1"/>
  <c r="AK6" i="5" s="1"/>
  <c r="AA6" i="5"/>
  <c r="AB6" i="5" s="1"/>
  <c r="AA13" i="5"/>
  <c r="AB13" i="5" s="1"/>
  <c r="AA12" i="5"/>
  <c r="AB12" i="5" s="1"/>
  <c r="AA14" i="5"/>
  <c r="AB14" i="5" s="1"/>
  <c r="AA7" i="5"/>
  <c r="AB7" i="5" s="1"/>
  <c r="AA15" i="5"/>
  <c r="AB15" i="5" s="1"/>
  <c r="AA10" i="5"/>
  <c r="AB10" i="5" s="1"/>
  <c r="AA9" i="5"/>
  <c r="AB9" i="5" s="1"/>
  <c r="AA11" i="5"/>
  <c r="AB11" i="5" s="1"/>
  <c r="AA5" i="5"/>
  <c r="AB5" i="5" s="1"/>
  <c r="AA8" i="5"/>
  <c r="AB8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B1" authorId="0" shapeId="0" xr:uid="{D4CAE439-3199-4BF8-954B-B43B3ABF8159}">
      <text>
        <r>
          <rPr>
            <sz val="11"/>
            <color rgb="FF000000"/>
            <rFont val="Calibri"/>
          </rPr>
          <t>Autor:
p=0.21</t>
        </r>
      </text>
    </comment>
  </commentList>
</comments>
</file>

<file path=xl/sharedStrings.xml><?xml version="1.0" encoding="utf-8"?>
<sst xmlns="http://schemas.openxmlformats.org/spreadsheetml/2006/main" count="3094" uniqueCount="79">
  <si>
    <t>User ID</t>
  </si>
  <si>
    <t>Condición</t>
  </si>
  <si>
    <t>Seleccione el factor que más importante o que más contribuyó a sentir sobrecarga cognitiva en la tarea que acaba de realizar. [(A) Esfuerzo o Desempeño (B)]</t>
  </si>
  <si>
    <t>Seleccione el factor que más importante o que más contribuyó a sentir sobrecarga cognitiva en la tarea que acaba de realizar. [(A) Demanda Temporal o Frustración (B)]</t>
  </si>
  <si>
    <t>Seleccione el factor que más importante o que más contribuyó a sentir sobrecarga cognitiva en la tarea que acaba de realizar. [(A) Demanda Temporal o Esfuerzo (B)]</t>
  </si>
  <si>
    <t>Seleccione el factor que más importante o que más contribuyó a sentir sobrecarga cognitiva en la tarea que acaba de realizar. [(A) Demanda Física o Frustración (B)]</t>
  </si>
  <si>
    <t>Seleccione el factor que más importante o que más contribuyó a sentir sobrecarga cognitiva en la tarea que acaba de realizar. [(A) Desempeño o Frustración (B)]</t>
  </si>
  <si>
    <t>Seleccione el factor que más importante o que más contribuyó a sentir sobrecarga cognitiva en la tarea que acaba de realizar. [(A) Demanda Física o Demanda Temporal (B)]</t>
  </si>
  <si>
    <t>Seleccione el factor que más importante o que más contribuyó a sentir sobrecarga cognitiva en la tarea que acaba de realizar. [(A) Demanda Física o Desempeño (B)]</t>
  </si>
  <si>
    <t>Seleccione el factor que más importante o que más contribuyó a sentir sobrecarga cognitiva en la tarea que acaba de realizar. [(A) Demanda Temporal o Demanda Mental (B)]</t>
  </si>
  <si>
    <t>Seleccione el factor que más importante o que más contribuyó a sentir sobrecarga cognitiva en la tarea que acaba de realizar. [(A) Frustración o Esfuerzo (B)]</t>
  </si>
  <si>
    <t>Seleccione el factor que más importante o que más contribuyó a sentir sobrecarga cognitiva en la tarea que acaba de realizar. [(A) Desempeño o Demanda Mental (B)]</t>
  </si>
  <si>
    <t>Seleccione el factor que más importante o que más contribuyó a sentir sobrecarga cognitiva en la tarea que acaba de realizar. [(A) Desempeño o Demanda Temporal (B)]</t>
  </si>
  <si>
    <t>Seleccione el factor que más importante o que más contribuyó a sentir sobrecarga cognitiva en la tarea que acaba de realizar. [(A) Demanda Mental o Esfuerzo (B)]</t>
  </si>
  <si>
    <t>Seleccione el factor que más importante o que más contribuyó a sentir sobrecarga cognitiva en la tarea que acaba de realizar. [(A) Demanda Mental o Demanda Física (B) ]</t>
  </si>
  <si>
    <t>Seleccione el factor que más importante o que más contribuyó a sentir sobrecarga cognitiva en la tarea que acaba de realizar. [(A) Esfuerzo o Demanda Física (B)]</t>
  </si>
  <si>
    <t>Seleccione el factor que más importante o que más contribuyó a sentir sobrecarga cognitiva en la tarea que acaba de realizar. [(A) Frustración o Demanda Mental (B)]</t>
  </si>
  <si>
    <t>¿Qué tan exigente mentalmente fue la tarea?</t>
  </si>
  <si>
    <t>¿Qué tan exigente físicamente fue la tarea?</t>
  </si>
  <si>
    <t>¿Qué tan rápido o apresurado fue el ritmo de la tarea?</t>
  </si>
  <si>
    <t>¿Qué tan bueno fue usted al lograr lo que se le pidió que hiciera?</t>
  </si>
  <si>
    <t xml:space="preserve">¿Qué tan duro tuvo que trabajar para alcanzar el nivel de desempeño? </t>
  </si>
  <si>
    <t xml:space="preserve">¿Qué tan inseguro, desanimado, enojado, estresado o molesto estaba usted al realizar la tarea? </t>
  </si>
  <si>
    <t>Comentarios</t>
  </si>
  <si>
    <t>Action Words</t>
  </si>
  <si>
    <t>A</t>
  </si>
  <si>
    <t>B</t>
  </si>
  <si>
    <t>Motor Imagery</t>
  </si>
  <si>
    <t>Motor Observation</t>
  </si>
  <si>
    <t>al aparecer imagenes como el salto en trampolín o al usar el cuchillo sentí como mucha más enfoque que a imagenes de caminar o sentarse por ejemplo</t>
  </si>
  <si>
    <t xml:space="preserve">casi siempre intuía la misma acción una para la parte de arriba y otra para la parte de abajo  </t>
  </si>
  <si>
    <t xml:space="preserve">que viva la ciencia </t>
  </si>
  <si>
    <t>que viva la ciencia</t>
  </si>
  <si>
    <t>Me hubiera gustado observar los videos en formato horizontal, para tener mayor cercanía con la acción</t>
  </si>
  <si>
    <t>cansancio</t>
  </si>
  <si>
    <t>User</t>
  </si>
  <si>
    <t>Condition</t>
  </si>
  <si>
    <t>[(A) Effort or Performance (B)]</t>
  </si>
  <si>
    <t>[(A) Temporal Demand or Frustration(B)]</t>
  </si>
  <si>
    <t>[(A) Temporal Demand or Effort (B)]</t>
  </si>
  <si>
    <t>[(A) Physical Demand or Frustration (B)]</t>
  </si>
  <si>
    <t xml:space="preserve"> [(A) Performance or Frustration (B)]</t>
  </si>
  <si>
    <t>[(A) Physical Demand or Temporal Demand (B)]</t>
  </si>
  <si>
    <t xml:space="preserve"> [(A) Physical Demand or Performance (B)]</t>
  </si>
  <si>
    <t>[(A) Temporal Demand or Mental Demand (B)]</t>
  </si>
  <si>
    <t>[(A) Frustration or Effort (B)]</t>
  </si>
  <si>
    <t>[(A) Performance or Mental Demand (B)]</t>
  </si>
  <si>
    <t>[(A) Performance or Temporal Demand (B)]</t>
  </si>
  <si>
    <t xml:space="preserve"> [(A) Mental Demand or Effort (B)]</t>
  </si>
  <si>
    <t xml:space="preserve"> [(A) Mental Demand or Physical Demand (B) ]</t>
  </si>
  <si>
    <t xml:space="preserve"> [(A) Effort or Physical Demand (B)]</t>
  </si>
  <si>
    <t xml:space="preserve"> [(A) Frustration or Mental Demand (B)]</t>
  </si>
  <si>
    <t>Mental Demand</t>
  </si>
  <si>
    <t>Physical Demand</t>
  </si>
  <si>
    <t>Temporal Demand</t>
  </si>
  <si>
    <t>Performance</t>
  </si>
  <si>
    <t>Effort</t>
  </si>
  <si>
    <t>Frustration</t>
  </si>
  <si>
    <t>Total</t>
  </si>
  <si>
    <t>Task</t>
  </si>
  <si>
    <t>Ratings</t>
  </si>
  <si>
    <t>Magnitude of Load</t>
  </si>
  <si>
    <t>Weight</t>
  </si>
  <si>
    <t>Adjusted Rating (WxR)</t>
  </si>
  <si>
    <t>SUM</t>
  </si>
  <si>
    <t>Weighted Rating</t>
  </si>
  <si>
    <t>How mentally demanding was the task?</t>
  </si>
  <si>
    <t>How physically demanding was the task?</t>
  </si>
  <si>
    <t>How hurried or rushed was the pace of the task?</t>
  </si>
  <si>
    <t>How successful were you in accomplishing what you were asked to do?</t>
  </si>
  <si>
    <t>How hard did you have to work to accomplish your level of performance?</t>
  </si>
  <si>
    <t>How insecure, discouraged, irritated, stressed, and annoyed were you?</t>
  </si>
  <si>
    <t>Weighted Workload</t>
  </si>
  <si>
    <t>AW</t>
  </si>
  <si>
    <t>MI</t>
  </si>
  <si>
    <t>MO</t>
  </si>
  <si>
    <t>Median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</si>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</sst>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Calibri"/>
    </font>
    <font>
      <sz val="11"/>
      <color rgb="FF7F7F7F"/>
      <name val="Calibri"/>
    </font>
    <font>
      <b/>
      <sz val="11"/>
      <color rgb="FF7F7F7F"/>
      <name val="Calibri"/>
    </font>
    <font>
      <sz val="11"/>
      <color rgb="FF000000"/>
      <name val="Calibri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BB59"/>
        <bgColor rgb="FF9BBB5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9999"/>
      <color rgb="FF67A9CF"/>
      <color rgb="FFEF8A62"/>
      <color rgb="FF7F7F7F"/>
      <color rgb="FFFFFF99"/>
      <color rgb="FFF7964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Nasa_Ratings!$AD$12</c:f>
              <c:strCache>
                <c:ptCount val="1"/>
                <c:pt idx="0">
                  <c:v>AW</c:v>
                </c:pt>
              </c:strCache>
            </c:strRef>
          </c:tx>
          <c:spPr>
            <a:solidFill>
              <a:srgbClr val="EF8A62"/>
            </a:solidFill>
            <a:ln cmpd="sng">
              <a:solidFill>
                <a:srgbClr val="000000"/>
              </a:solidFill>
            </a:ln>
          </c:spPr>
          <c:invertIfNegative val="1"/>
          <c:errBars>
            <c:errBarType val="both"/>
            <c:errValType val="stdErr"/>
            <c:noEndCap val="0"/>
          </c:errBars>
          <c:cat>
            <c:strRef>
              <c:f>Nasa_Ratings!$AE$5:$AK$5</c:f>
              <c:strCache>
                <c:ptCount val="7"/>
                <c:pt idx="0">
                  <c:v>Mental Demand</c:v>
                </c:pt>
                <c:pt idx="1">
                  <c:v>Physical Demand</c:v>
                </c:pt>
                <c:pt idx="2">
                  <c:v>Temporal Demand</c:v>
                </c:pt>
                <c:pt idx="3">
                  <c:v>Performance</c:v>
                </c:pt>
                <c:pt idx="4">
                  <c:v>Effort</c:v>
                </c:pt>
                <c:pt idx="5">
                  <c:v>Frustration</c:v>
                </c:pt>
                <c:pt idx="6">
                  <c:v>Weighted Workload</c:v>
                </c:pt>
              </c:strCache>
            </c:strRef>
          </c:cat>
          <c:val>
            <c:numRef>
              <c:f>Nasa_Ratings!$AE$12:$AK$12</c:f>
              <c:numCache>
                <c:formatCode>0.00</c:formatCode>
                <c:ptCount val="7"/>
                <c:pt idx="0">
                  <c:v>45.517241379310342</c:v>
                </c:pt>
                <c:pt idx="1">
                  <c:v>35.862068965517238</c:v>
                </c:pt>
                <c:pt idx="2">
                  <c:v>33.793103448275865</c:v>
                </c:pt>
                <c:pt idx="3">
                  <c:v>75.862068965517238</c:v>
                </c:pt>
                <c:pt idx="4">
                  <c:v>48.620689655172413</c:v>
                </c:pt>
                <c:pt idx="5">
                  <c:v>33.793103448275865</c:v>
                </c:pt>
                <c:pt idx="6">
                  <c:v>52.206896551724135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9C3-4B09-8EB6-4DEBCE9ADA17}"/>
            </c:ext>
          </c:extLst>
        </c:ser>
        <c:ser>
          <c:idx val="2"/>
          <c:order val="1"/>
          <c:tx>
            <c:strRef>
              <c:f>Nasa_Ratings!$AD$14</c:f>
              <c:strCache>
                <c:ptCount val="1"/>
                <c:pt idx="0">
                  <c:v>MO</c:v>
                </c:pt>
              </c:strCache>
            </c:strRef>
          </c:tx>
          <c:spPr>
            <a:solidFill>
              <a:srgbClr val="67A9CF"/>
            </a:solidFill>
            <a:ln cmpd="sng">
              <a:solidFill>
                <a:srgbClr val="000000"/>
              </a:solidFill>
            </a:ln>
          </c:spPr>
          <c:invertIfNegative val="1"/>
          <c:errBars>
            <c:errBarType val="both"/>
            <c:errValType val="stdErr"/>
            <c:noEndCap val="0"/>
          </c:errBars>
          <c:cat>
            <c:strRef>
              <c:f>Nasa_Ratings!$AE$5:$AK$5</c:f>
              <c:strCache>
                <c:ptCount val="7"/>
                <c:pt idx="0">
                  <c:v>Mental Demand</c:v>
                </c:pt>
                <c:pt idx="1">
                  <c:v>Physical Demand</c:v>
                </c:pt>
                <c:pt idx="2">
                  <c:v>Temporal Demand</c:v>
                </c:pt>
                <c:pt idx="3">
                  <c:v>Performance</c:v>
                </c:pt>
                <c:pt idx="4">
                  <c:v>Effort</c:v>
                </c:pt>
                <c:pt idx="5">
                  <c:v>Frustration</c:v>
                </c:pt>
                <c:pt idx="6">
                  <c:v>Weighted Workload</c:v>
                </c:pt>
              </c:strCache>
            </c:strRef>
          </c:cat>
          <c:val>
            <c:numRef>
              <c:f>Nasa_Ratings!$AE$14:$AK$14</c:f>
              <c:numCache>
                <c:formatCode>0.00</c:formatCode>
                <c:ptCount val="7"/>
                <c:pt idx="0">
                  <c:v>43.571428571428569</c:v>
                </c:pt>
                <c:pt idx="1">
                  <c:v>30.714285714285715</c:v>
                </c:pt>
                <c:pt idx="2">
                  <c:v>36.428571428571431</c:v>
                </c:pt>
                <c:pt idx="3">
                  <c:v>74.285714285714292</c:v>
                </c:pt>
                <c:pt idx="4">
                  <c:v>48.571428571428569</c:v>
                </c:pt>
                <c:pt idx="5">
                  <c:v>23.571428571428573</c:v>
                </c:pt>
                <c:pt idx="6">
                  <c:v>48.357142857142868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9C3-4B09-8EB6-4DEBCE9ADA17}"/>
            </c:ext>
          </c:extLst>
        </c:ser>
        <c:ser>
          <c:idx val="1"/>
          <c:order val="2"/>
          <c:tx>
            <c:strRef>
              <c:f>Nasa_Ratings!$AD$13</c:f>
              <c:strCache>
                <c:ptCount val="1"/>
                <c:pt idx="0">
                  <c:v>MI</c:v>
                </c:pt>
              </c:strCache>
            </c:strRef>
          </c:tx>
          <c:spPr>
            <a:solidFill>
              <a:srgbClr val="999999"/>
            </a:solidFill>
            <a:ln cmpd="sng">
              <a:solidFill>
                <a:srgbClr val="000000"/>
              </a:solidFill>
            </a:ln>
          </c:spPr>
          <c:invertIfNegative val="1"/>
          <c:errBars>
            <c:errBarType val="both"/>
            <c:errValType val="stdErr"/>
            <c:noEndCap val="0"/>
          </c:errBars>
          <c:cat>
            <c:strRef>
              <c:f>Nasa_Ratings!$AE$5:$AK$5</c:f>
              <c:strCache>
                <c:ptCount val="7"/>
                <c:pt idx="0">
                  <c:v>Mental Demand</c:v>
                </c:pt>
                <c:pt idx="1">
                  <c:v>Physical Demand</c:v>
                </c:pt>
                <c:pt idx="2">
                  <c:v>Temporal Demand</c:v>
                </c:pt>
                <c:pt idx="3">
                  <c:v>Performance</c:v>
                </c:pt>
                <c:pt idx="4">
                  <c:v>Effort</c:v>
                </c:pt>
                <c:pt idx="5">
                  <c:v>Frustration</c:v>
                </c:pt>
                <c:pt idx="6">
                  <c:v>Weighted Workload</c:v>
                </c:pt>
              </c:strCache>
            </c:strRef>
          </c:cat>
          <c:val>
            <c:numRef>
              <c:f>Nasa_Ratings!$AE$13:$AK$13</c:f>
              <c:numCache>
                <c:formatCode>0.00</c:formatCode>
                <c:ptCount val="7"/>
                <c:pt idx="0">
                  <c:v>66.896551724137936</c:v>
                </c:pt>
                <c:pt idx="1">
                  <c:v>36.206896551724135</c:v>
                </c:pt>
                <c:pt idx="2">
                  <c:v>45.517241379310342</c:v>
                </c:pt>
                <c:pt idx="3">
                  <c:v>71.724137931034477</c:v>
                </c:pt>
                <c:pt idx="4">
                  <c:v>60</c:v>
                </c:pt>
                <c:pt idx="5">
                  <c:v>35.517241379310342</c:v>
                </c:pt>
                <c:pt idx="6">
                  <c:v>60.390804597701148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9C3-4B09-8EB6-4DEBCE9AD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4596487"/>
        <c:axId val="1887496903"/>
      </c:barChart>
      <c:catAx>
        <c:axId val="1464596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1887496903"/>
        <c:crosses val="autoZero"/>
        <c:auto val="1"/>
        <c:lblAlgn val="ctr"/>
        <c:lblOffset val="100"/>
        <c:noMultiLvlLbl val="1"/>
      </c:catAx>
      <c:valAx>
        <c:axId val="1887496903"/>
        <c:scaling>
          <c:orientation val="minMax"/>
          <c:max val="100"/>
        </c:scaling>
        <c:delete val="0"/>
        <c:axPos val="l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Ratings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+mn-lt"/>
              </a:defRPr>
            </a:pPr>
            <a:endParaRPr lang="en-US"/>
          </a:p>
        </c:txPr>
        <c:crossAx val="1464596487"/>
        <c:crosses val="autoZero"/>
        <c:crossBetween val="between"/>
      </c:valAx>
      <c:dTable>
        <c:showHorzBorder val="1"/>
        <c:showVertBorder val="0"/>
        <c:showOutline val="1"/>
        <c:showKeys val="1"/>
      </c:dTable>
      <c:spPr>
        <a:solidFill>
          <a:srgbClr val="FFFFFF"/>
        </a:solidFill>
        <a:ln>
          <a:noFill/>
        </a:ln>
      </c:spPr>
    </c:plotArea>
    <c:plotVisOnly val="1"/>
    <c:dispBlanksAs val="zero"/>
    <c:showDLblsOverMax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Nasa_Ratings!$AD$12</c:f>
              <c:strCache>
                <c:ptCount val="1"/>
                <c:pt idx="0">
                  <c:v>AW</c:v>
                </c:pt>
              </c:strCache>
            </c:strRef>
          </c:tx>
          <c:spPr>
            <a:solidFill>
              <a:srgbClr val="F79646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Nasa_Ratings!$AK$11</c:f>
              <c:strCache>
                <c:ptCount val="1"/>
                <c:pt idx="0">
                  <c:v>Weighted Workload</c:v>
                </c:pt>
              </c:strCache>
            </c:strRef>
          </c:cat>
          <c:val>
            <c:numRef>
              <c:f>Nasa_Ratings!$AK$12</c:f>
              <c:numCache>
                <c:formatCode>0.00</c:formatCode>
                <c:ptCount val="1"/>
                <c:pt idx="0">
                  <c:v>52.206896551724135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1A0D-4B47-9D88-963D52F9BA5B}"/>
            </c:ext>
          </c:extLst>
        </c:ser>
        <c:ser>
          <c:idx val="2"/>
          <c:order val="1"/>
          <c:tx>
            <c:strRef>
              <c:f>Nasa_Ratings!$AD$14</c:f>
              <c:strCache>
                <c:ptCount val="1"/>
                <c:pt idx="0">
                  <c:v>MO</c:v>
                </c:pt>
              </c:strCache>
            </c:strRef>
          </c:tx>
          <c:spPr>
            <a:solidFill>
              <a:srgbClr val="67A9C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Nasa_Ratings!$AK$11</c:f>
              <c:strCache>
                <c:ptCount val="1"/>
                <c:pt idx="0">
                  <c:v>Weighted Workload</c:v>
                </c:pt>
              </c:strCache>
            </c:strRef>
          </c:cat>
          <c:val>
            <c:numRef>
              <c:f>Nasa_Ratings!$AK$14</c:f>
              <c:numCache>
                <c:formatCode>0.00</c:formatCode>
                <c:ptCount val="1"/>
                <c:pt idx="0">
                  <c:v>48.357142857142868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A0D-4B47-9D88-963D52F9BA5B}"/>
            </c:ext>
          </c:extLst>
        </c:ser>
        <c:ser>
          <c:idx val="1"/>
          <c:order val="2"/>
          <c:tx>
            <c:strRef>
              <c:f>Nasa_Ratings!$AD$13</c:f>
              <c:strCache>
                <c:ptCount val="1"/>
                <c:pt idx="0">
                  <c:v>MI</c:v>
                </c:pt>
              </c:strCache>
            </c:strRef>
          </c:tx>
          <c:spPr>
            <a:solidFill>
              <a:srgbClr val="7F7F7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tx1"/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Nasa_Ratings!$AK$11</c:f>
              <c:strCache>
                <c:ptCount val="1"/>
                <c:pt idx="0">
                  <c:v>Weighted Workload</c:v>
                </c:pt>
              </c:strCache>
            </c:strRef>
          </c:cat>
          <c:val>
            <c:numRef>
              <c:f>Nasa_Ratings!$AK$13</c:f>
              <c:numCache>
                <c:formatCode>0.00</c:formatCode>
                <c:ptCount val="1"/>
                <c:pt idx="0">
                  <c:v>60.390804597701148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A0D-4B47-9D88-963D52F9BA5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267669654"/>
        <c:axId val="125822327"/>
      </c:barChart>
      <c:catAx>
        <c:axId val="126766965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Roboto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822327"/>
        <c:crosses val="autoZero"/>
        <c:auto val="1"/>
        <c:lblAlgn val="ctr"/>
        <c:lblOffset val="100"/>
        <c:noMultiLvlLbl val="1"/>
      </c:catAx>
      <c:valAx>
        <c:axId val="125822327"/>
        <c:scaling>
          <c:orientation val="minMax"/>
          <c:max val="100"/>
        </c:scaling>
        <c:delete val="0"/>
        <c:axPos val="l"/>
        <c:majorGridlines>
          <c:spPr>
            <a:ln w="6350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 lvl="0">
                  <a:defRPr sz="1000" b="0" i="0" u="none" strike="noStrike" kern="1200" baseline="0">
                    <a:solidFill>
                      <a:srgbClr val="000000"/>
                    </a:solidFill>
                    <a:latin typeface="Roboto"/>
                    <a:ea typeface="+mn-ea"/>
                    <a:cs typeface="+mn-cs"/>
                  </a:defRPr>
                </a:pP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lvl="0" algn="ctr">
              <a:defRPr lang="en-US"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7669654"/>
        <c:crosses val="autoZero"/>
        <c:crossBetween val="between"/>
        <c:majorUnit val="10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zero"/>
    <c:showDLblsOverMax val="1"/>
  </c:chart>
  <c:spPr>
    <a:solidFill>
      <a:srgbClr val="FFFFFF"/>
    </a:solidFill>
    <a:ln w="6350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447577</xdr:colOff>
      <xdr:row>31</xdr:row>
      <xdr:rowOff>89244</xdr:rowOff>
    </xdr:from>
    <xdr:ext cx="10876520" cy="593896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96734A-388C-4236-8E0D-406BC3FF55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50</xdr:col>
      <xdr:colOff>60963</xdr:colOff>
      <xdr:row>18</xdr:row>
      <xdr:rowOff>92900</xdr:rowOff>
    </xdr:from>
    <xdr:ext cx="3352800" cy="368986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0E40B75-E318-4B4C-BB02-48F15412F0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0.12015</cdr:x>
      <cdr:y>0.07068</cdr:y>
    </cdr:from>
    <cdr:to>
      <cdr:x>0.15108</cdr:x>
      <cdr:y>0.08915</cdr:y>
    </cdr:to>
    <cdr:sp macro="" textlink="">
      <cdr:nvSpPr>
        <cdr:cNvPr id="5" name="Left Bracket 4">
          <a:extLst xmlns:a="http://schemas.openxmlformats.org/drawingml/2006/main">
            <a:ext uri="{FF2B5EF4-FFF2-40B4-BE49-F238E27FC236}">
              <a16:creationId xmlns:a16="http://schemas.microsoft.com/office/drawing/2014/main" id="{AF9D2FF5-C12D-1129-0683-346AF7AE08CB}"/>
            </a:ext>
          </a:extLst>
        </cdr:cNvPr>
        <cdr:cNvSpPr/>
      </cdr:nvSpPr>
      <cdr:spPr>
        <a:xfrm xmlns:a="http://schemas.openxmlformats.org/drawingml/2006/main" rot="5400000">
          <a:off x="1420173" y="306375"/>
          <a:ext cx="109711" cy="336496"/>
        </a:xfrm>
        <a:prstGeom xmlns:a="http://schemas.openxmlformats.org/drawingml/2006/main" prst="leftBracke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0.09911</cdr:x>
      <cdr:y>0.0426</cdr:y>
    </cdr:from>
    <cdr:to>
      <cdr:x>0.15171</cdr:x>
      <cdr:y>0.06081</cdr:y>
    </cdr:to>
    <cdr:sp macro="" textlink="">
      <cdr:nvSpPr>
        <cdr:cNvPr id="6" name="Left Bracket 5">
          <a:extLst xmlns:a="http://schemas.openxmlformats.org/drawingml/2006/main">
            <a:ext uri="{FF2B5EF4-FFF2-40B4-BE49-F238E27FC236}">
              <a16:creationId xmlns:a16="http://schemas.microsoft.com/office/drawing/2014/main" id="{B2189177-3B68-5856-B1CC-DFCDC5450529}"/>
            </a:ext>
          </a:extLst>
        </cdr:cNvPr>
        <cdr:cNvSpPr/>
      </cdr:nvSpPr>
      <cdr:spPr>
        <a:xfrm xmlns:a="http://schemas.openxmlformats.org/drawingml/2006/main" rot="5400000">
          <a:off x="1309942" y="20954"/>
          <a:ext cx="108159" cy="572196"/>
        </a:xfrm>
        <a:prstGeom xmlns:a="http://schemas.openxmlformats.org/drawingml/2006/main" prst="leftBracket">
          <a:avLst/>
        </a:prstGeom>
        <a:noFill xmlns:a="http://schemas.openxmlformats.org/drawingml/2006/main"/>
        <a:ln xmlns:a="http://schemas.openxmlformats.org/drawingml/2006/main" w="12700">
          <a:solidFill>
            <a:sysClr val="windowText" lastClr="000000"/>
          </a:solidFill>
        </a:ln>
      </cdr:spPr>
      <c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kern="1200"/>
        </a:p>
      </cdr:txBody>
    </cdr:sp>
  </cdr:relSizeAnchor>
  <cdr:relSizeAnchor xmlns:cdr="http://schemas.openxmlformats.org/drawingml/2006/chartDrawing">
    <cdr:from>
      <cdr:x>0.11506</cdr:x>
      <cdr:y>0.01</cdr:y>
    </cdr:from>
    <cdr:to>
      <cdr:x>0.13742</cdr:x>
      <cdr:y>0.0464</cdr:y>
    </cdr:to>
    <cdr:sp macro="" textlink="">
      <cdr:nvSpPr>
        <c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498F1700-5375-43E3-74A4-D934E7F20107}"/>
            </a:ext>
          </a:extLst>
        </cdr:cNvPr>
        <cdr:cNvSpPr txBox="1"/>
      </cdr:nvSpPr>
      <cdr:spPr>
        <a:xfrm xmlns:a="http://schemas.openxmlformats.org/drawingml/2006/main">
          <a:off x="1251469" y="59373"/>
          <a:ext cx="243192" cy="2161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 b="1" kern="1200">
              <a:latin typeface="Arial" panose="020B0604020202020204" pitchFamily="34" charset="0"/>
              <a:cs typeface="Arial" panose="020B0604020202020204" pitchFamily="34" charset="0"/>
            </a:rPr>
            <a:t>*</a:t>
          </a:r>
          <a:endParaRPr lang="en-US" sz="1100" b="1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0.12392</cdr:x>
      <cdr:y>0.0404</cdr:y>
    </cdr:from>
    <cdr:to>
      <cdr:x>0.14628</cdr:x>
      <cdr:y>0.0768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718915D0-4FC4-9B15-0545-15E00115E427}"/>
            </a:ext>
          </a:extLst>
        </cdr:cNvPr>
        <cdr:cNvSpPr txBox="1"/>
      </cdr:nvSpPr>
      <cdr:spPr>
        <a:xfrm xmlns:a="http://schemas.openxmlformats.org/drawingml/2006/main">
          <a:off x="1347821" y="239949"/>
          <a:ext cx="243192" cy="21617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600" b="1" kern="1200">
              <a:latin typeface="Arial" panose="020B0604020202020204" pitchFamily="34" charset="0"/>
              <a:cs typeface="Arial" panose="020B0604020202020204" pitchFamily="34" charset="0"/>
            </a:rPr>
            <a:t>*</a:t>
          </a:r>
          <a:endParaRPr lang="en-US" sz="1100" b="1" kern="1200"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X87"/>
  <sheetViews>
    <sheetView workbookViewId="0">
      <pane ySplit="1" topLeftCell="A4" activePane="bottomLeft" state="frozen"/>
      <selection pane="bottomLeft" activeCell="C33" sqref="C33"/>
    </sheetView>
  </sheetViews>
  <sheetFormatPr defaultColWidth="12.54296875" defaultRowHeight="15.75" customHeight="1" x14ac:dyDescent="0.25"/>
  <cols>
    <col min="1" max="30" width="18.81640625" customWidth="1"/>
  </cols>
  <sheetData>
    <row r="1" spans="1:2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5.75" hidden="1" customHeight="1" x14ac:dyDescent="0.25">
      <c r="A2" s="1">
        <v>1</v>
      </c>
      <c r="B2" s="1" t="s">
        <v>24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26</v>
      </c>
      <c r="H2" s="1" t="s">
        <v>25</v>
      </c>
      <c r="I2" s="1" t="s">
        <v>25</v>
      </c>
      <c r="J2" s="1" t="s">
        <v>25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  <c r="Q2" s="1" t="s">
        <v>26</v>
      </c>
      <c r="R2" s="1">
        <v>7</v>
      </c>
      <c r="S2" s="1">
        <v>10</v>
      </c>
      <c r="T2" s="1">
        <v>4</v>
      </c>
      <c r="U2" s="1">
        <v>4</v>
      </c>
      <c r="V2" s="1">
        <v>10</v>
      </c>
      <c r="W2" s="1">
        <v>7</v>
      </c>
    </row>
    <row r="3" spans="1:24" ht="15.75" hidden="1" customHeight="1" x14ac:dyDescent="0.25">
      <c r="A3" s="1">
        <v>1</v>
      </c>
      <c r="B3" s="1" t="s">
        <v>27</v>
      </c>
      <c r="C3" s="1" t="s">
        <v>25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26</v>
      </c>
      <c r="I3" s="1" t="s">
        <v>25</v>
      </c>
      <c r="J3" s="1" t="s">
        <v>25</v>
      </c>
      <c r="K3" s="1" t="s">
        <v>26</v>
      </c>
      <c r="L3" s="1" t="s">
        <v>26</v>
      </c>
      <c r="M3" s="1" t="s">
        <v>26</v>
      </c>
      <c r="N3" s="1" t="s">
        <v>25</v>
      </c>
      <c r="O3" s="1" t="s">
        <v>26</v>
      </c>
      <c r="P3" s="1" t="s">
        <v>25</v>
      </c>
      <c r="Q3" s="1" t="s">
        <v>26</v>
      </c>
      <c r="R3" s="1">
        <v>8</v>
      </c>
      <c r="S3" s="1">
        <v>6</v>
      </c>
      <c r="T3" s="1">
        <v>4</v>
      </c>
      <c r="U3" s="1">
        <v>9</v>
      </c>
      <c r="V3" s="1">
        <v>9</v>
      </c>
      <c r="W3" s="1">
        <v>1</v>
      </c>
    </row>
    <row r="4" spans="1:24" ht="15.75" customHeight="1" x14ac:dyDescent="0.25">
      <c r="A4" s="1">
        <v>1</v>
      </c>
      <c r="B4" s="1" t="s">
        <v>28</v>
      </c>
      <c r="C4" s="1" t="s">
        <v>25</v>
      </c>
      <c r="D4" s="1" t="s">
        <v>25</v>
      </c>
      <c r="E4" s="1" t="s">
        <v>25</v>
      </c>
      <c r="F4" s="1" t="s">
        <v>25</v>
      </c>
      <c r="G4" s="1" t="s">
        <v>25</v>
      </c>
      <c r="H4" s="1" t="s">
        <v>26</v>
      </c>
      <c r="I4" s="1" t="s">
        <v>26</v>
      </c>
      <c r="J4" s="1" t="s">
        <v>25</v>
      </c>
      <c r="K4" s="1" t="s">
        <v>26</v>
      </c>
      <c r="L4" s="1" t="s">
        <v>26</v>
      </c>
      <c r="M4" s="1" t="s">
        <v>26</v>
      </c>
      <c r="N4" s="1" t="s">
        <v>25</v>
      </c>
      <c r="O4" s="1" t="s">
        <v>25</v>
      </c>
      <c r="P4" s="1" t="s">
        <v>25</v>
      </c>
      <c r="Q4" s="1" t="s">
        <v>26</v>
      </c>
      <c r="R4" s="1">
        <v>7</v>
      </c>
      <c r="S4" s="1">
        <v>3</v>
      </c>
      <c r="T4" s="1">
        <v>3</v>
      </c>
      <c r="U4" s="1">
        <v>7</v>
      </c>
      <c r="V4" s="1">
        <v>7</v>
      </c>
      <c r="W4" s="1">
        <v>2</v>
      </c>
    </row>
    <row r="5" spans="1:24" ht="15.75" hidden="1" customHeight="1" x14ac:dyDescent="0.25">
      <c r="A5" s="1">
        <v>2</v>
      </c>
      <c r="B5" s="1" t="s">
        <v>27</v>
      </c>
      <c r="C5" s="1" t="s">
        <v>25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26</v>
      </c>
      <c r="I5" s="1" t="s">
        <v>25</v>
      </c>
      <c r="J5" s="1" t="s">
        <v>25</v>
      </c>
      <c r="K5" s="1" t="s">
        <v>26</v>
      </c>
      <c r="L5" s="1" t="s">
        <v>25</v>
      </c>
      <c r="M5" s="1" t="s">
        <v>26</v>
      </c>
      <c r="N5" s="1" t="s">
        <v>26</v>
      </c>
      <c r="O5" s="1" t="s">
        <v>26</v>
      </c>
      <c r="P5" s="1" t="s">
        <v>26</v>
      </c>
      <c r="Q5" s="1" t="s">
        <v>26</v>
      </c>
      <c r="R5" s="1">
        <v>2</v>
      </c>
      <c r="S5" s="1">
        <v>2</v>
      </c>
      <c r="T5" s="1">
        <v>4</v>
      </c>
      <c r="U5" s="1">
        <v>9</v>
      </c>
      <c r="V5" s="1">
        <v>2</v>
      </c>
      <c r="W5" s="1">
        <v>1</v>
      </c>
    </row>
    <row r="6" spans="1:24" ht="15.75" customHeight="1" x14ac:dyDescent="0.25">
      <c r="A6" s="1">
        <v>2</v>
      </c>
      <c r="B6" s="1" t="s">
        <v>28</v>
      </c>
      <c r="C6" s="1" t="s">
        <v>25</v>
      </c>
      <c r="D6" s="1" t="s">
        <v>25</v>
      </c>
      <c r="E6" s="1" t="s">
        <v>26</v>
      </c>
      <c r="F6" s="1" t="s">
        <v>25</v>
      </c>
      <c r="G6" s="1" t="s">
        <v>25</v>
      </c>
      <c r="H6" s="1" t="s">
        <v>25</v>
      </c>
      <c r="I6" s="1" t="s">
        <v>25</v>
      </c>
      <c r="J6" s="1" t="s">
        <v>25</v>
      </c>
      <c r="K6" s="1" t="s">
        <v>26</v>
      </c>
      <c r="L6" s="1" t="s">
        <v>25</v>
      </c>
      <c r="M6" s="1" t="s">
        <v>25</v>
      </c>
      <c r="N6" s="1" t="s">
        <v>26</v>
      </c>
      <c r="O6" s="1" t="s">
        <v>26</v>
      </c>
      <c r="P6" s="1" t="s">
        <v>26</v>
      </c>
      <c r="Q6" s="1" t="s">
        <v>26</v>
      </c>
      <c r="R6" s="1">
        <v>1</v>
      </c>
      <c r="S6" s="1">
        <v>1</v>
      </c>
      <c r="T6" s="1">
        <v>1</v>
      </c>
      <c r="U6" s="1">
        <v>10</v>
      </c>
      <c r="V6" s="1">
        <v>1</v>
      </c>
      <c r="W6" s="1">
        <v>1</v>
      </c>
    </row>
    <row r="7" spans="1:24" ht="15.75" hidden="1" customHeight="1" x14ac:dyDescent="0.25">
      <c r="A7" s="1">
        <v>2</v>
      </c>
      <c r="B7" s="1" t="s">
        <v>24</v>
      </c>
      <c r="C7" s="1" t="s">
        <v>25</v>
      </c>
      <c r="D7" s="1" t="s">
        <v>25</v>
      </c>
      <c r="E7" s="1" t="s">
        <v>25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25</v>
      </c>
      <c r="K7" s="1" t="s">
        <v>26</v>
      </c>
      <c r="L7" s="1" t="s">
        <v>25</v>
      </c>
      <c r="M7" s="1" t="s">
        <v>25</v>
      </c>
      <c r="N7" s="1" t="s">
        <v>26</v>
      </c>
      <c r="O7" s="1" t="s">
        <v>26</v>
      </c>
      <c r="P7" s="1" t="s">
        <v>26</v>
      </c>
      <c r="Q7" s="1" t="s">
        <v>26</v>
      </c>
      <c r="R7" s="1">
        <v>1</v>
      </c>
      <c r="S7" s="1">
        <v>1</v>
      </c>
      <c r="T7" s="1">
        <v>1</v>
      </c>
      <c r="U7" s="1">
        <v>10</v>
      </c>
      <c r="V7" s="1">
        <v>1</v>
      </c>
      <c r="W7" s="1">
        <v>1</v>
      </c>
    </row>
    <row r="8" spans="1:24" ht="15.75" customHeight="1" x14ac:dyDescent="0.25">
      <c r="A8" s="1">
        <v>3</v>
      </c>
      <c r="B8" s="1" t="s">
        <v>28</v>
      </c>
      <c r="C8" s="1" t="s">
        <v>25</v>
      </c>
      <c r="D8" s="1" t="s">
        <v>25</v>
      </c>
      <c r="E8" s="1" t="s">
        <v>26</v>
      </c>
      <c r="F8" s="1" t="s">
        <v>25</v>
      </c>
      <c r="G8" s="1" t="s">
        <v>25</v>
      </c>
      <c r="H8" s="1" t="s">
        <v>26</v>
      </c>
      <c r="I8" s="1" t="s">
        <v>26</v>
      </c>
      <c r="J8" s="1" t="s">
        <v>26</v>
      </c>
      <c r="K8" s="1" t="s">
        <v>26</v>
      </c>
      <c r="L8" s="1" t="s">
        <v>26</v>
      </c>
      <c r="M8" s="1" t="s">
        <v>25</v>
      </c>
      <c r="N8" s="1" t="s">
        <v>26</v>
      </c>
      <c r="O8" s="1" t="s">
        <v>25</v>
      </c>
      <c r="P8" s="1" t="s">
        <v>25</v>
      </c>
      <c r="Q8" s="1" t="s">
        <v>26</v>
      </c>
      <c r="R8" s="1">
        <v>8</v>
      </c>
      <c r="S8" s="1">
        <v>5</v>
      </c>
      <c r="T8" s="1">
        <v>5</v>
      </c>
      <c r="U8" s="1">
        <v>4</v>
      </c>
      <c r="V8" s="1">
        <v>6</v>
      </c>
      <c r="W8" s="1">
        <v>1</v>
      </c>
    </row>
    <row r="9" spans="1:24" ht="15.75" hidden="1" customHeight="1" x14ac:dyDescent="0.25">
      <c r="A9" s="1">
        <v>3</v>
      </c>
      <c r="B9" s="1" t="s">
        <v>24</v>
      </c>
      <c r="C9" s="1" t="s">
        <v>26</v>
      </c>
      <c r="D9" s="1" t="s">
        <v>25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26</v>
      </c>
      <c r="J9" s="1" t="s">
        <v>26</v>
      </c>
      <c r="K9" s="1" t="s">
        <v>26</v>
      </c>
      <c r="L9" s="1" t="s">
        <v>25</v>
      </c>
      <c r="M9" s="1" t="s">
        <v>26</v>
      </c>
      <c r="N9" s="1" t="s">
        <v>25</v>
      </c>
      <c r="O9" s="1" t="s">
        <v>25</v>
      </c>
      <c r="P9" s="1" t="s">
        <v>25</v>
      </c>
      <c r="Q9" s="1" t="s">
        <v>26</v>
      </c>
      <c r="R9" s="1">
        <v>5</v>
      </c>
      <c r="S9" s="1">
        <v>4</v>
      </c>
      <c r="T9" s="1">
        <v>6</v>
      </c>
      <c r="U9" s="1">
        <v>6</v>
      </c>
      <c r="V9" s="1">
        <v>6</v>
      </c>
      <c r="W9" s="1">
        <v>4</v>
      </c>
    </row>
    <row r="10" spans="1:24" ht="15.75" hidden="1" customHeight="1" x14ac:dyDescent="0.25">
      <c r="A10" s="1">
        <v>3</v>
      </c>
      <c r="B10" s="1" t="s">
        <v>27</v>
      </c>
      <c r="C10" s="1" t="s">
        <v>25</v>
      </c>
      <c r="D10" s="1" t="s">
        <v>25</v>
      </c>
      <c r="E10" s="1" t="s">
        <v>26</v>
      </c>
      <c r="F10" s="1" t="s">
        <v>25</v>
      </c>
      <c r="G10" s="1" t="s">
        <v>26</v>
      </c>
      <c r="H10" s="1" t="s">
        <v>25</v>
      </c>
      <c r="I10" s="1" t="s">
        <v>26</v>
      </c>
      <c r="J10" s="1" t="s">
        <v>26</v>
      </c>
      <c r="K10" s="1" t="s">
        <v>26</v>
      </c>
      <c r="L10" s="1" t="s">
        <v>26</v>
      </c>
      <c r="M10" s="1" t="s">
        <v>25</v>
      </c>
      <c r="N10" s="1" t="s">
        <v>25</v>
      </c>
      <c r="O10" s="1" t="s">
        <v>25</v>
      </c>
      <c r="P10" s="1" t="s">
        <v>25</v>
      </c>
      <c r="Q10" s="1" t="s">
        <v>26</v>
      </c>
      <c r="R10" s="1">
        <v>9</v>
      </c>
      <c r="S10" s="1">
        <v>8</v>
      </c>
      <c r="T10" s="1">
        <v>7</v>
      </c>
      <c r="U10" s="1">
        <v>5</v>
      </c>
      <c r="V10" s="1">
        <v>7</v>
      </c>
      <c r="W10" s="1">
        <v>3</v>
      </c>
    </row>
    <row r="11" spans="1:24" ht="15.75" hidden="1" customHeight="1" x14ac:dyDescent="0.25">
      <c r="A11" s="1">
        <v>4</v>
      </c>
      <c r="B11" s="1" t="s">
        <v>24</v>
      </c>
      <c r="C11" s="1" t="s">
        <v>26</v>
      </c>
      <c r="D11" s="1" t="s">
        <v>25</v>
      </c>
      <c r="E11" s="1" t="s">
        <v>25</v>
      </c>
      <c r="F11" s="1" t="s">
        <v>25</v>
      </c>
      <c r="G11" s="1" t="s">
        <v>25</v>
      </c>
      <c r="H11" s="1" t="s">
        <v>26</v>
      </c>
      <c r="I11" s="1" t="s">
        <v>26</v>
      </c>
      <c r="J11" s="1" t="s">
        <v>26</v>
      </c>
      <c r="K11" s="1" t="s">
        <v>26</v>
      </c>
      <c r="L11" s="1" t="s">
        <v>26</v>
      </c>
      <c r="M11" s="1" t="s">
        <v>25</v>
      </c>
      <c r="N11" s="1" t="s">
        <v>25</v>
      </c>
      <c r="O11" s="1" t="s">
        <v>25</v>
      </c>
      <c r="P11" s="1" t="s">
        <v>25</v>
      </c>
      <c r="Q11" s="1" t="s">
        <v>26</v>
      </c>
      <c r="R11" s="1">
        <v>5</v>
      </c>
      <c r="S11" s="1">
        <v>2</v>
      </c>
      <c r="T11" s="1">
        <v>4</v>
      </c>
      <c r="U11" s="1">
        <v>8</v>
      </c>
      <c r="V11" s="1">
        <v>8</v>
      </c>
      <c r="W11" s="1">
        <v>2</v>
      </c>
    </row>
    <row r="12" spans="1:24" ht="15.75" hidden="1" customHeight="1" x14ac:dyDescent="0.25">
      <c r="A12" s="1">
        <v>4</v>
      </c>
      <c r="B12" s="1" t="s">
        <v>27</v>
      </c>
      <c r="C12" s="1" t="s">
        <v>25</v>
      </c>
      <c r="D12" s="1" t="s">
        <v>25</v>
      </c>
      <c r="E12" s="1" t="s">
        <v>26</v>
      </c>
      <c r="F12" s="1" t="s">
        <v>25</v>
      </c>
      <c r="G12" s="1" t="s">
        <v>25</v>
      </c>
      <c r="H12" s="1" t="s">
        <v>26</v>
      </c>
      <c r="I12" s="1" t="s">
        <v>26</v>
      </c>
      <c r="J12" s="1" t="s">
        <v>26</v>
      </c>
      <c r="K12" s="1" t="s">
        <v>26</v>
      </c>
      <c r="L12" s="1" t="s">
        <v>26</v>
      </c>
      <c r="M12" s="1" t="s">
        <v>25</v>
      </c>
      <c r="N12" s="1" t="s">
        <v>25</v>
      </c>
      <c r="O12" s="1" t="s">
        <v>25</v>
      </c>
      <c r="P12" s="1" t="s">
        <v>25</v>
      </c>
      <c r="Q12" s="1" t="s">
        <v>26</v>
      </c>
      <c r="R12" s="1">
        <v>8</v>
      </c>
      <c r="S12" s="1">
        <v>4</v>
      </c>
      <c r="T12" s="1">
        <v>3</v>
      </c>
      <c r="U12" s="1">
        <v>8</v>
      </c>
      <c r="V12" s="1">
        <v>9</v>
      </c>
      <c r="W12" s="1">
        <v>3</v>
      </c>
    </row>
    <row r="13" spans="1:24" ht="15.75" customHeight="1" x14ac:dyDescent="0.25">
      <c r="A13" s="1">
        <v>4</v>
      </c>
      <c r="B13" s="1" t="s">
        <v>28</v>
      </c>
      <c r="C13" s="1" t="s">
        <v>26</v>
      </c>
      <c r="D13" s="1" t="s">
        <v>25</v>
      </c>
      <c r="E13" s="1" t="s">
        <v>26</v>
      </c>
      <c r="F13" s="1" t="s">
        <v>25</v>
      </c>
      <c r="G13" s="1" t="s">
        <v>25</v>
      </c>
      <c r="H13" s="1" t="s">
        <v>26</v>
      </c>
      <c r="I13" s="1" t="s">
        <v>26</v>
      </c>
      <c r="J13" s="1" t="s">
        <v>26</v>
      </c>
      <c r="K13" s="1" t="s">
        <v>26</v>
      </c>
      <c r="L13" s="1" t="s">
        <v>25</v>
      </c>
      <c r="M13" s="1" t="s">
        <v>25</v>
      </c>
      <c r="N13" s="1" t="s">
        <v>25</v>
      </c>
      <c r="O13" s="1" t="s">
        <v>25</v>
      </c>
      <c r="P13" s="1" t="s">
        <v>25</v>
      </c>
      <c r="Q13" s="1" t="s">
        <v>26</v>
      </c>
      <c r="R13" s="1">
        <v>5</v>
      </c>
      <c r="S13" s="1">
        <v>2</v>
      </c>
      <c r="T13" s="1">
        <v>3</v>
      </c>
      <c r="U13" s="1">
        <v>9</v>
      </c>
      <c r="V13" s="1">
        <v>6</v>
      </c>
      <c r="W13" s="1">
        <v>2</v>
      </c>
    </row>
    <row r="14" spans="1:24" ht="15.75" hidden="1" customHeight="1" x14ac:dyDescent="0.25">
      <c r="A14" s="1">
        <v>5</v>
      </c>
      <c r="B14" s="1" t="s">
        <v>27</v>
      </c>
      <c r="C14" s="1" t="s">
        <v>25</v>
      </c>
      <c r="D14" s="1" t="s">
        <v>25</v>
      </c>
      <c r="E14" s="1" t="s">
        <v>26</v>
      </c>
      <c r="F14" s="1" t="s">
        <v>25</v>
      </c>
      <c r="G14" s="1" t="s">
        <v>25</v>
      </c>
      <c r="H14" s="1" t="s">
        <v>26</v>
      </c>
      <c r="I14" s="1" t="s">
        <v>25</v>
      </c>
      <c r="J14" s="1" t="s">
        <v>26</v>
      </c>
      <c r="K14" s="1" t="s">
        <v>26</v>
      </c>
      <c r="L14" s="1" t="s">
        <v>26</v>
      </c>
      <c r="M14" s="1" t="s">
        <v>25</v>
      </c>
      <c r="N14" s="1" t="s">
        <v>25</v>
      </c>
      <c r="O14" s="1" t="s">
        <v>25</v>
      </c>
      <c r="P14" s="1" t="s">
        <v>25</v>
      </c>
      <c r="Q14" s="1" t="s">
        <v>26</v>
      </c>
      <c r="R14" s="1">
        <v>8</v>
      </c>
      <c r="S14" s="1">
        <v>3</v>
      </c>
      <c r="T14" s="1">
        <v>5</v>
      </c>
      <c r="U14" s="1">
        <v>9</v>
      </c>
      <c r="V14" s="1">
        <v>8</v>
      </c>
      <c r="W14" s="1">
        <v>1</v>
      </c>
    </row>
    <row r="15" spans="1:24" ht="15.75" customHeight="1" x14ac:dyDescent="0.25">
      <c r="A15" s="1">
        <v>5</v>
      </c>
      <c r="B15" s="1" t="s">
        <v>28</v>
      </c>
      <c r="C15" s="1" t="s">
        <v>25</v>
      </c>
      <c r="D15" s="1" t="s">
        <v>26</v>
      </c>
      <c r="E15" s="1" t="s">
        <v>26</v>
      </c>
      <c r="F15" s="1" t="s">
        <v>25</v>
      </c>
      <c r="G15" s="1" t="s">
        <v>25</v>
      </c>
      <c r="H15" s="1" t="s">
        <v>25</v>
      </c>
      <c r="I15" s="1" t="s">
        <v>25</v>
      </c>
      <c r="J15" s="1" t="s">
        <v>26</v>
      </c>
      <c r="K15" s="1" t="s">
        <v>26</v>
      </c>
      <c r="L15" s="1" t="s">
        <v>26</v>
      </c>
      <c r="M15" s="1" t="s">
        <v>25</v>
      </c>
      <c r="N15" s="1" t="s">
        <v>25</v>
      </c>
      <c r="O15" s="1" t="s">
        <v>25</v>
      </c>
      <c r="P15" s="1" t="s">
        <v>25</v>
      </c>
      <c r="Q15" s="1" t="s">
        <v>26</v>
      </c>
      <c r="R15" s="1">
        <v>10</v>
      </c>
      <c r="S15" s="1">
        <v>7</v>
      </c>
      <c r="T15" s="1">
        <v>5</v>
      </c>
      <c r="U15" s="1">
        <v>7</v>
      </c>
      <c r="V15" s="1">
        <v>9</v>
      </c>
      <c r="W15" s="1">
        <v>1</v>
      </c>
    </row>
    <row r="16" spans="1:24" ht="15.75" hidden="1" customHeight="1" x14ac:dyDescent="0.25">
      <c r="A16" s="1">
        <v>5</v>
      </c>
      <c r="B16" s="1" t="s">
        <v>24</v>
      </c>
      <c r="C16" s="1" t="s">
        <v>25</v>
      </c>
      <c r="D16" s="1" t="s">
        <v>25</v>
      </c>
      <c r="E16" s="1" t="s">
        <v>26</v>
      </c>
      <c r="F16" s="1" t="s">
        <v>25</v>
      </c>
      <c r="G16" s="1" t="s">
        <v>25</v>
      </c>
      <c r="H16" s="1" t="s">
        <v>25</v>
      </c>
      <c r="I16" s="1" t="s">
        <v>25</v>
      </c>
      <c r="J16" s="1" t="s">
        <v>26</v>
      </c>
      <c r="K16" s="1" t="s">
        <v>26</v>
      </c>
      <c r="L16" s="1" t="s">
        <v>26</v>
      </c>
      <c r="M16" s="1" t="s">
        <v>25</v>
      </c>
      <c r="N16" s="1" t="s">
        <v>25</v>
      </c>
      <c r="O16" s="1" t="s">
        <v>25</v>
      </c>
      <c r="P16" s="1" t="s">
        <v>25</v>
      </c>
      <c r="Q16" s="1" t="s">
        <v>26</v>
      </c>
      <c r="R16" s="1">
        <v>8</v>
      </c>
      <c r="S16" s="1">
        <v>6</v>
      </c>
      <c r="T16" s="1">
        <v>5</v>
      </c>
      <c r="U16" s="1">
        <v>9</v>
      </c>
      <c r="V16" s="1">
        <v>8</v>
      </c>
      <c r="W16" s="1">
        <v>1</v>
      </c>
    </row>
    <row r="17" spans="1:24" ht="15.75" customHeight="1" x14ac:dyDescent="0.25">
      <c r="A17" s="1">
        <v>6</v>
      </c>
      <c r="B17" s="1" t="s">
        <v>28</v>
      </c>
      <c r="C17" s="1" t="s">
        <v>26</v>
      </c>
      <c r="D17" s="1" t="s">
        <v>26</v>
      </c>
      <c r="E17" s="1" t="s">
        <v>26</v>
      </c>
      <c r="F17" s="1" t="s">
        <v>25</v>
      </c>
      <c r="G17" s="1" t="s">
        <v>25</v>
      </c>
      <c r="H17" s="1" t="s">
        <v>26</v>
      </c>
      <c r="I17" s="1" t="s">
        <v>26</v>
      </c>
      <c r="J17" s="1" t="s">
        <v>26</v>
      </c>
      <c r="K17" s="1" t="s">
        <v>25</v>
      </c>
      <c r="L17" s="1" t="s">
        <v>26</v>
      </c>
      <c r="M17" s="1" t="s">
        <v>26</v>
      </c>
      <c r="N17" s="1" t="s">
        <v>26</v>
      </c>
      <c r="O17" s="1" t="s">
        <v>26</v>
      </c>
      <c r="P17" s="1" t="s">
        <v>25</v>
      </c>
      <c r="Q17" s="1" t="s">
        <v>25</v>
      </c>
      <c r="R17" s="1">
        <v>5</v>
      </c>
      <c r="S17" s="1">
        <v>2</v>
      </c>
      <c r="T17" s="1">
        <v>3</v>
      </c>
      <c r="U17" s="1">
        <v>7</v>
      </c>
      <c r="V17" s="1">
        <v>6</v>
      </c>
      <c r="W17" s="1">
        <v>3</v>
      </c>
      <c r="X17" s="1" t="s">
        <v>29</v>
      </c>
    </row>
    <row r="18" spans="1:24" ht="15.75" hidden="1" customHeight="1" x14ac:dyDescent="0.25">
      <c r="A18" s="1">
        <v>6</v>
      </c>
      <c r="B18" s="1" t="s">
        <v>24</v>
      </c>
      <c r="C18" s="1" t="s">
        <v>26</v>
      </c>
      <c r="D18" s="1" t="s">
        <v>26</v>
      </c>
      <c r="E18" s="1" t="s">
        <v>26</v>
      </c>
      <c r="F18" s="1" t="s">
        <v>26</v>
      </c>
      <c r="G18" s="1" t="s">
        <v>25</v>
      </c>
      <c r="H18" s="1" t="s">
        <v>25</v>
      </c>
      <c r="I18" s="1" t="s">
        <v>25</v>
      </c>
      <c r="J18" s="1" t="s">
        <v>26</v>
      </c>
      <c r="K18" s="1" t="s">
        <v>26</v>
      </c>
      <c r="L18" s="1" t="s">
        <v>26</v>
      </c>
      <c r="M18" s="1" t="s">
        <v>25</v>
      </c>
      <c r="N18" s="1" t="s">
        <v>25</v>
      </c>
      <c r="O18" s="1" t="s">
        <v>25</v>
      </c>
      <c r="P18" s="1" t="s">
        <v>25</v>
      </c>
      <c r="Q18" s="1" t="s">
        <v>26</v>
      </c>
      <c r="R18" s="1">
        <v>6</v>
      </c>
      <c r="S18" s="1">
        <v>5</v>
      </c>
      <c r="T18" s="1">
        <v>5</v>
      </c>
      <c r="U18" s="1">
        <v>8</v>
      </c>
      <c r="V18" s="1">
        <v>5</v>
      </c>
      <c r="W18" s="1">
        <v>3</v>
      </c>
    </row>
    <row r="19" spans="1:24" ht="15.75" hidden="1" customHeight="1" x14ac:dyDescent="0.25">
      <c r="A19" s="1">
        <v>6</v>
      </c>
      <c r="B19" s="1" t="s">
        <v>27</v>
      </c>
      <c r="C19" s="1" t="s">
        <v>25</v>
      </c>
      <c r="D19" s="1" t="s">
        <v>25</v>
      </c>
      <c r="E19" s="1" t="s">
        <v>26</v>
      </c>
      <c r="F19" s="1" t="s">
        <v>25</v>
      </c>
      <c r="G19" s="1" t="s">
        <v>25</v>
      </c>
      <c r="H19" s="1" t="s">
        <v>25</v>
      </c>
      <c r="I19" s="1" t="s">
        <v>25</v>
      </c>
      <c r="J19" s="1" t="s">
        <v>26</v>
      </c>
      <c r="K19" s="1" t="s">
        <v>26</v>
      </c>
      <c r="L19" s="1" t="s">
        <v>26</v>
      </c>
      <c r="M19" s="1" t="s">
        <v>25</v>
      </c>
      <c r="N19" s="1" t="s">
        <v>26</v>
      </c>
      <c r="O19" s="1" t="s">
        <v>25</v>
      </c>
      <c r="P19" s="1" t="s">
        <v>26</v>
      </c>
      <c r="Q19" s="1" t="s">
        <v>26</v>
      </c>
      <c r="R19" s="1">
        <v>9</v>
      </c>
      <c r="S19" s="1">
        <v>7</v>
      </c>
      <c r="T19" s="1">
        <v>2</v>
      </c>
      <c r="U19" s="1">
        <v>5</v>
      </c>
      <c r="V19" s="1">
        <v>8</v>
      </c>
      <c r="W19" s="1">
        <v>5</v>
      </c>
      <c r="X19" s="1" t="s">
        <v>30</v>
      </c>
    </row>
    <row r="20" spans="1:24" ht="15.75" hidden="1" customHeight="1" x14ac:dyDescent="0.25">
      <c r="A20" s="1">
        <v>7</v>
      </c>
      <c r="B20" s="1" t="s">
        <v>24</v>
      </c>
      <c r="C20" s="1" t="s">
        <v>25</v>
      </c>
      <c r="D20" s="1" t="s">
        <v>25</v>
      </c>
      <c r="E20" s="1" t="s">
        <v>26</v>
      </c>
      <c r="F20" s="1" t="s">
        <v>25</v>
      </c>
      <c r="G20" s="1" t="s">
        <v>25</v>
      </c>
      <c r="H20" s="1" t="s">
        <v>26</v>
      </c>
      <c r="I20" s="1" t="s">
        <v>26</v>
      </c>
      <c r="J20" s="1" t="s">
        <v>26</v>
      </c>
      <c r="K20" s="1" t="s">
        <v>26</v>
      </c>
      <c r="L20" s="1" t="s">
        <v>26</v>
      </c>
      <c r="M20" s="1" t="s">
        <v>25</v>
      </c>
      <c r="N20" s="1" t="s">
        <v>25</v>
      </c>
      <c r="O20" s="1" t="s">
        <v>25</v>
      </c>
      <c r="P20" s="1" t="s">
        <v>25</v>
      </c>
      <c r="Q20" s="1" t="s">
        <v>26</v>
      </c>
      <c r="R20" s="1">
        <v>1</v>
      </c>
      <c r="S20" s="1">
        <v>1</v>
      </c>
      <c r="T20" s="1">
        <v>1</v>
      </c>
      <c r="U20" s="1">
        <v>10</v>
      </c>
      <c r="V20" s="1">
        <v>1</v>
      </c>
      <c r="W20" s="1">
        <v>1</v>
      </c>
    </row>
    <row r="21" spans="1:24" ht="15.75" hidden="1" customHeight="1" x14ac:dyDescent="0.25">
      <c r="A21" s="1">
        <v>7</v>
      </c>
      <c r="B21" s="1" t="s">
        <v>27</v>
      </c>
      <c r="C21" s="1" t="s">
        <v>26</v>
      </c>
      <c r="D21" s="1" t="s">
        <v>26</v>
      </c>
      <c r="E21" s="1" t="s">
        <v>26</v>
      </c>
      <c r="F21" s="1" t="s">
        <v>26</v>
      </c>
      <c r="G21" s="1" t="s">
        <v>25</v>
      </c>
      <c r="H21" s="1" t="s">
        <v>26</v>
      </c>
      <c r="I21" s="1" t="s">
        <v>25</v>
      </c>
      <c r="J21" s="1" t="s">
        <v>26</v>
      </c>
      <c r="K21" s="1" t="s">
        <v>26</v>
      </c>
      <c r="L21" s="1" t="s">
        <v>26</v>
      </c>
      <c r="M21" s="1" t="s">
        <v>25</v>
      </c>
      <c r="N21" s="1" t="s">
        <v>25</v>
      </c>
      <c r="O21" s="1" t="s">
        <v>25</v>
      </c>
      <c r="P21" s="1" t="s">
        <v>25</v>
      </c>
      <c r="Q21" s="1" t="s">
        <v>26</v>
      </c>
      <c r="R21" s="1">
        <v>2</v>
      </c>
      <c r="S21" s="1">
        <v>1</v>
      </c>
      <c r="T21" s="1">
        <v>1</v>
      </c>
      <c r="U21" s="1">
        <v>10</v>
      </c>
      <c r="V21" s="1">
        <v>1</v>
      </c>
      <c r="W21" s="1">
        <v>1</v>
      </c>
    </row>
    <row r="22" spans="1:24" ht="12.5" x14ac:dyDescent="0.25">
      <c r="A22" s="1">
        <v>7</v>
      </c>
      <c r="B22" s="1" t="s">
        <v>28</v>
      </c>
      <c r="C22" s="1" t="s">
        <v>26</v>
      </c>
      <c r="D22" s="1" t="s">
        <v>25</v>
      </c>
      <c r="E22" s="1" t="s">
        <v>25</v>
      </c>
      <c r="F22" s="1" t="s">
        <v>26</v>
      </c>
      <c r="G22" s="1" t="s">
        <v>25</v>
      </c>
      <c r="H22" s="1" t="s">
        <v>26</v>
      </c>
      <c r="I22" s="1" t="s">
        <v>26</v>
      </c>
      <c r="J22" s="1" t="s">
        <v>25</v>
      </c>
      <c r="K22" s="1" t="s">
        <v>26</v>
      </c>
      <c r="L22" s="1" t="s">
        <v>26</v>
      </c>
      <c r="M22" s="1" t="s">
        <v>26</v>
      </c>
      <c r="N22" s="1" t="s">
        <v>25</v>
      </c>
      <c r="O22" s="1" t="s">
        <v>25</v>
      </c>
      <c r="P22" s="1" t="s">
        <v>25</v>
      </c>
      <c r="Q22" s="1" t="s">
        <v>26</v>
      </c>
      <c r="R22" s="1">
        <v>1</v>
      </c>
      <c r="S22" s="1">
        <v>1</v>
      </c>
      <c r="T22" s="1">
        <v>1</v>
      </c>
      <c r="U22" s="1">
        <v>10</v>
      </c>
      <c r="V22" s="1">
        <v>1</v>
      </c>
      <c r="W22" s="1">
        <v>1</v>
      </c>
    </row>
    <row r="23" spans="1:24" ht="12.5" hidden="1" x14ac:dyDescent="0.25">
      <c r="A23" s="1">
        <v>8</v>
      </c>
      <c r="B23" s="1" t="s">
        <v>27</v>
      </c>
      <c r="C23" s="1" t="s">
        <v>26</v>
      </c>
      <c r="D23" s="1" t="s">
        <v>25</v>
      </c>
      <c r="E23" s="1" t="s">
        <v>25</v>
      </c>
      <c r="F23" s="1" t="s">
        <v>26</v>
      </c>
      <c r="G23" s="1" t="s">
        <v>25</v>
      </c>
      <c r="H23" s="1" t="s">
        <v>26</v>
      </c>
      <c r="I23" s="1" t="s">
        <v>26</v>
      </c>
      <c r="J23" s="1" t="s">
        <v>25</v>
      </c>
      <c r="K23" s="1" t="s">
        <v>26</v>
      </c>
      <c r="L23" s="1" t="s">
        <v>26</v>
      </c>
      <c r="M23" s="1" t="s">
        <v>26</v>
      </c>
      <c r="N23" s="1" t="s">
        <v>25</v>
      </c>
      <c r="O23" s="1" t="s">
        <v>25</v>
      </c>
      <c r="P23" s="1" t="s">
        <v>25</v>
      </c>
      <c r="Q23" s="1" t="s">
        <v>26</v>
      </c>
      <c r="R23" s="1">
        <v>6</v>
      </c>
      <c r="S23" s="1">
        <v>1</v>
      </c>
      <c r="T23" s="1">
        <v>4</v>
      </c>
      <c r="U23" s="1">
        <v>6</v>
      </c>
      <c r="V23" s="1">
        <v>7</v>
      </c>
      <c r="W23" s="1">
        <v>6</v>
      </c>
    </row>
    <row r="24" spans="1:24" ht="12.5" x14ac:dyDescent="0.25">
      <c r="A24" s="1">
        <v>8</v>
      </c>
      <c r="B24" s="1" t="s">
        <v>28</v>
      </c>
      <c r="C24" s="1" t="s">
        <v>25</v>
      </c>
      <c r="D24" s="1" t="s">
        <v>26</v>
      </c>
      <c r="E24" s="1" t="s">
        <v>26</v>
      </c>
      <c r="F24" s="1" t="s">
        <v>25</v>
      </c>
      <c r="G24" s="1" t="s">
        <v>25</v>
      </c>
      <c r="H24" s="1" t="s">
        <v>25</v>
      </c>
      <c r="I24" s="1" t="s">
        <v>25</v>
      </c>
      <c r="J24" s="1" t="s">
        <v>25</v>
      </c>
      <c r="K24" s="1" t="s">
        <v>26</v>
      </c>
      <c r="L24" s="1" t="s">
        <v>25</v>
      </c>
      <c r="M24" s="1" t="s">
        <v>26</v>
      </c>
      <c r="N24" s="1" t="s">
        <v>26</v>
      </c>
      <c r="O24" s="1" t="s">
        <v>26</v>
      </c>
      <c r="P24" s="1" t="s">
        <v>25</v>
      </c>
      <c r="Q24" s="1" t="s">
        <v>25</v>
      </c>
      <c r="R24" s="1">
        <v>3</v>
      </c>
      <c r="S24" s="1">
        <v>7</v>
      </c>
      <c r="T24" s="1">
        <v>7</v>
      </c>
      <c r="U24" s="1">
        <v>7</v>
      </c>
      <c r="V24" s="1">
        <v>8</v>
      </c>
      <c r="W24" s="1">
        <v>4</v>
      </c>
    </row>
    <row r="25" spans="1:24" ht="12.5" hidden="1" x14ac:dyDescent="0.25">
      <c r="A25" s="1">
        <v>8</v>
      </c>
      <c r="B25" s="1" t="s">
        <v>24</v>
      </c>
      <c r="C25" s="1" t="s">
        <v>25</v>
      </c>
      <c r="D25" s="1" t="s">
        <v>25</v>
      </c>
      <c r="E25" s="1" t="s">
        <v>25</v>
      </c>
      <c r="F25" s="1" t="s">
        <v>26</v>
      </c>
      <c r="G25" s="1" t="s">
        <v>26</v>
      </c>
      <c r="H25" s="1" t="s">
        <v>26</v>
      </c>
      <c r="I25" s="1" t="s">
        <v>26</v>
      </c>
      <c r="J25" s="1" t="s">
        <v>25</v>
      </c>
      <c r="K25" s="1" t="s">
        <v>25</v>
      </c>
      <c r="L25" s="1" t="s">
        <v>26</v>
      </c>
      <c r="M25" s="1" t="s">
        <v>26</v>
      </c>
      <c r="N25" s="1" t="s">
        <v>25</v>
      </c>
      <c r="O25" s="1" t="s">
        <v>25</v>
      </c>
      <c r="P25" s="1" t="s">
        <v>25</v>
      </c>
      <c r="Q25" s="1" t="s">
        <v>26</v>
      </c>
      <c r="R25" s="1">
        <v>6</v>
      </c>
      <c r="S25" s="1">
        <v>2</v>
      </c>
      <c r="T25" s="1">
        <v>6</v>
      </c>
      <c r="U25" s="1">
        <v>7</v>
      </c>
      <c r="V25" s="1">
        <v>4</v>
      </c>
      <c r="W25" s="1">
        <v>6</v>
      </c>
    </row>
    <row r="26" spans="1:24" ht="12.5" x14ac:dyDescent="0.25">
      <c r="A26" s="1">
        <v>9</v>
      </c>
      <c r="B26" s="1" t="s">
        <v>28</v>
      </c>
      <c r="C26" s="1" t="s">
        <v>26</v>
      </c>
      <c r="D26" s="1" t="s">
        <v>25</v>
      </c>
      <c r="E26" s="1" t="s">
        <v>26</v>
      </c>
      <c r="F26" s="1" t="s">
        <v>25</v>
      </c>
      <c r="G26" s="1" t="s">
        <v>25</v>
      </c>
      <c r="H26" s="1" t="s">
        <v>25</v>
      </c>
      <c r="I26" s="1" t="s">
        <v>25</v>
      </c>
      <c r="J26" s="1" t="s">
        <v>26</v>
      </c>
      <c r="K26" s="1" t="s">
        <v>26</v>
      </c>
      <c r="L26" s="1" t="s">
        <v>26</v>
      </c>
      <c r="M26" s="1" t="s">
        <v>25</v>
      </c>
      <c r="N26" s="1" t="s">
        <v>25</v>
      </c>
      <c r="O26" s="1" t="s">
        <v>25</v>
      </c>
      <c r="P26" s="1" t="s">
        <v>26</v>
      </c>
      <c r="Q26" s="1" t="s">
        <v>26</v>
      </c>
      <c r="R26" s="1">
        <v>2</v>
      </c>
      <c r="S26" s="1">
        <v>2</v>
      </c>
      <c r="T26" s="1">
        <v>2</v>
      </c>
      <c r="U26" s="1">
        <v>8</v>
      </c>
      <c r="V26" s="1">
        <v>3</v>
      </c>
      <c r="W26" s="1">
        <v>2</v>
      </c>
    </row>
    <row r="27" spans="1:24" ht="12.5" hidden="1" x14ac:dyDescent="0.25">
      <c r="A27" s="1">
        <v>9</v>
      </c>
      <c r="B27" s="1" t="s">
        <v>24</v>
      </c>
      <c r="C27" s="1" t="s">
        <v>25</v>
      </c>
      <c r="D27" s="1" t="s">
        <v>26</v>
      </c>
      <c r="E27" s="1" t="s">
        <v>26</v>
      </c>
      <c r="F27" s="1" t="s">
        <v>26</v>
      </c>
      <c r="G27" s="1" t="s">
        <v>26</v>
      </c>
      <c r="H27" s="1" t="s">
        <v>25</v>
      </c>
      <c r="I27" s="1" t="s">
        <v>26</v>
      </c>
      <c r="J27" s="1" t="s">
        <v>26</v>
      </c>
      <c r="K27" s="1" t="s">
        <v>26</v>
      </c>
      <c r="L27" s="1" t="s">
        <v>26</v>
      </c>
      <c r="M27" s="1" t="s">
        <v>25</v>
      </c>
      <c r="N27" s="1" t="s">
        <v>25</v>
      </c>
      <c r="O27" s="1" t="s">
        <v>25</v>
      </c>
      <c r="P27" s="1" t="s">
        <v>25</v>
      </c>
      <c r="Q27" s="1" t="s">
        <v>26</v>
      </c>
      <c r="R27" s="1">
        <v>4</v>
      </c>
      <c r="S27" s="1">
        <v>7</v>
      </c>
      <c r="T27" s="1">
        <v>3</v>
      </c>
      <c r="U27" s="1">
        <v>6</v>
      </c>
      <c r="V27" s="1">
        <v>6</v>
      </c>
      <c r="W27" s="1">
        <v>2</v>
      </c>
    </row>
    <row r="28" spans="1:24" ht="12.5" hidden="1" x14ac:dyDescent="0.25">
      <c r="A28" s="1">
        <v>9</v>
      </c>
      <c r="B28" s="1" t="s">
        <v>27</v>
      </c>
      <c r="C28" s="1" t="s">
        <v>25</v>
      </c>
      <c r="D28" s="1" t="s">
        <v>26</v>
      </c>
      <c r="E28" s="1" t="s">
        <v>26</v>
      </c>
      <c r="F28" s="1" t="s">
        <v>26</v>
      </c>
      <c r="G28" s="1" t="s">
        <v>25</v>
      </c>
      <c r="H28" s="1" t="s">
        <v>26</v>
      </c>
      <c r="I28" s="1" t="s">
        <v>26</v>
      </c>
      <c r="J28" s="1" t="s">
        <v>26</v>
      </c>
      <c r="K28" s="1" t="s">
        <v>26</v>
      </c>
      <c r="L28" s="1" t="s">
        <v>26</v>
      </c>
      <c r="M28" s="1" t="s">
        <v>25</v>
      </c>
      <c r="N28" s="1" t="s">
        <v>25</v>
      </c>
      <c r="O28" s="1" t="s">
        <v>25</v>
      </c>
      <c r="P28" s="1" t="s">
        <v>25</v>
      </c>
      <c r="Q28" s="1" t="s">
        <v>26</v>
      </c>
      <c r="R28" s="1">
        <v>8</v>
      </c>
      <c r="S28" s="1">
        <v>3</v>
      </c>
      <c r="T28" s="1">
        <v>5</v>
      </c>
      <c r="U28" s="1">
        <v>8</v>
      </c>
      <c r="V28" s="1">
        <v>6</v>
      </c>
      <c r="W28" s="1">
        <v>3</v>
      </c>
    </row>
    <row r="29" spans="1:24" ht="12.5" hidden="1" x14ac:dyDescent="0.25">
      <c r="A29" s="1">
        <v>10</v>
      </c>
      <c r="B29" s="1" t="s">
        <v>24</v>
      </c>
      <c r="C29" s="1" t="s">
        <v>26</v>
      </c>
      <c r="D29" s="1" t="s">
        <v>25</v>
      </c>
      <c r="E29" s="1" t="s">
        <v>25</v>
      </c>
      <c r="F29" s="1" t="s">
        <v>25</v>
      </c>
      <c r="G29" s="1" t="s">
        <v>25</v>
      </c>
      <c r="H29" s="1" t="s">
        <v>26</v>
      </c>
      <c r="I29" s="1" t="s">
        <v>26</v>
      </c>
      <c r="J29" s="1" t="s">
        <v>25</v>
      </c>
      <c r="K29" s="1" t="s">
        <v>26</v>
      </c>
      <c r="L29" s="1" t="s">
        <v>25</v>
      </c>
      <c r="M29" s="1" t="s">
        <v>25</v>
      </c>
      <c r="N29" s="1" t="s">
        <v>25</v>
      </c>
      <c r="O29" s="1" t="s">
        <v>25</v>
      </c>
      <c r="P29" s="1" t="s">
        <v>25</v>
      </c>
      <c r="Q29" s="1" t="s">
        <v>26</v>
      </c>
      <c r="R29" s="1">
        <v>1</v>
      </c>
      <c r="S29" s="1">
        <v>1</v>
      </c>
      <c r="T29" s="1">
        <v>2</v>
      </c>
      <c r="U29" s="1">
        <v>10</v>
      </c>
      <c r="V29" s="1">
        <v>1</v>
      </c>
      <c r="W29" s="1">
        <v>1</v>
      </c>
    </row>
    <row r="30" spans="1:24" ht="12.5" hidden="1" x14ac:dyDescent="0.25">
      <c r="A30" s="1">
        <v>10</v>
      </c>
      <c r="B30" s="1" t="s">
        <v>27</v>
      </c>
      <c r="C30" s="1" t="s">
        <v>25</v>
      </c>
      <c r="D30" s="1" t="s">
        <v>25</v>
      </c>
      <c r="E30" s="1" t="s">
        <v>25</v>
      </c>
      <c r="F30" s="1" t="s">
        <v>25</v>
      </c>
      <c r="G30" s="1" t="s">
        <v>25</v>
      </c>
      <c r="H30" s="1" t="s">
        <v>26</v>
      </c>
      <c r="I30" s="1" t="s">
        <v>25</v>
      </c>
      <c r="J30" s="1" t="s">
        <v>26</v>
      </c>
      <c r="K30" s="1" t="s">
        <v>26</v>
      </c>
      <c r="L30" s="1" t="s">
        <v>26</v>
      </c>
      <c r="M30" s="1" t="s">
        <v>26</v>
      </c>
      <c r="N30" s="1" t="s">
        <v>25</v>
      </c>
      <c r="O30" s="1" t="s">
        <v>25</v>
      </c>
      <c r="P30" s="1" t="s">
        <v>25</v>
      </c>
      <c r="Q30" s="1" t="s">
        <v>26</v>
      </c>
      <c r="R30" s="1">
        <v>7</v>
      </c>
      <c r="S30" s="1">
        <v>3</v>
      </c>
      <c r="T30" s="1">
        <v>7</v>
      </c>
      <c r="U30" s="1">
        <v>9</v>
      </c>
      <c r="V30" s="1">
        <v>6</v>
      </c>
      <c r="W30" s="1">
        <v>1</v>
      </c>
    </row>
    <row r="31" spans="1:24" ht="12.5" x14ac:dyDescent="0.25">
      <c r="A31" s="1">
        <v>10</v>
      </c>
      <c r="B31" s="1" t="s">
        <v>28</v>
      </c>
      <c r="C31" s="1" t="s">
        <v>26</v>
      </c>
      <c r="D31" s="1" t="s">
        <v>25</v>
      </c>
      <c r="E31" s="1" t="s">
        <v>25</v>
      </c>
      <c r="F31" s="1" t="s">
        <v>25</v>
      </c>
      <c r="G31" s="1" t="s">
        <v>25</v>
      </c>
      <c r="H31" s="1" t="s">
        <v>26</v>
      </c>
      <c r="I31" s="1" t="s">
        <v>25</v>
      </c>
      <c r="J31" s="1" t="s">
        <v>25</v>
      </c>
      <c r="K31" s="1" t="s">
        <v>26</v>
      </c>
      <c r="L31" s="1" t="s">
        <v>26</v>
      </c>
      <c r="M31" s="1" t="s">
        <v>26</v>
      </c>
      <c r="N31" s="1" t="s">
        <v>25</v>
      </c>
      <c r="O31" s="1" t="s">
        <v>25</v>
      </c>
      <c r="P31" s="1" t="s">
        <v>26</v>
      </c>
      <c r="Q31" s="1" t="s">
        <v>26</v>
      </c>
      <c r="R31" s="1">
        <v>7</v>
      </c>
      <c r="S31" s="1">
        <v>4</v>
      </c>
      <c r="T31" s="1">
        <v>3</v>
      </c>
      <c r="U31" s="1">
        <v>8</v>
      </c>
      <c r="V31" s="1">
        <v>6</v>
      </c>
      <c r="W31" s="1">
        <v>1</v>
      </c>
    </row>
    <row r="32" spans="1:24" ht="12.5" hidden="1" x14ac:dyDescent="0.25">
      <c r="A32" s="1">
        <v>11</v>
      </c>
      <c r="B32" s="1" t="s">
        <v>27</v>
      </c>
      <c r="C32" s="1" t="s">
        <v>25</v>
      </c>
      <c r="D32" s="1" t="s">
        <v>25</v>
      </c>
      <c r="E32" s="1" t="s">
        <v>26</v>
      </c>
      <c r="F32" s="1" t="s">
        <v>26</v>
      </c>
      <c r="G32" s="1" t="s">
        <v>25</v>
      </c>
      <c r="H32" s="1" t="s">
        <v>26</v>
      </c>
      <c r="I32" s="1" t="s">
        <v>26</v>
      </c>
      <c r="J32" s="1" t="s">
        <v>25</v>
      </c>
      <c r="K32" s="1" t="s">
        <v>26</v>
      </c>
      <c r="L32" s="1" t="s">
        <v>26</v>
      </c>
      <c r="M32" s="1" t="s">
        <v>26</v>
      </c>
      <c r="N32" s="1" t="s">
        <v>25</v>
      </c>
      <c r="O32" s="1" t="s">
        <v>25</v>
      </c>
      <c r="P32" s="1" t="s">
        <v>25</v>
      </c>
      <c r="Q32" s="1" t="s">
        <v>26</v>
      </c>
      <c r="R32" s="1">
        <v>10</v>
      </c>
      <c r="S32" s="1">
        <v>5</v>
      </c>
      <c r="T32" s="1">
        <v>8</v>
      </c>
      <c r="U32" s="1">
        <v>8</v>
      </c>
      <c r="V32" s="1">
        <v>9</v>
      </c>
      <c r="W32" s="1">
        <v>7</v>
      </c>
    </row>
    <row r="33" spans="1:23" ht="12.5" x14ac:dyDescent="0.25">
      <c r="A33" s="1">
        <v>11</v>
      </c>
      <c r="B33" s="1" t="s">
        <v>28</v>
      </c>
      <c r="C33" s="1" t="s">
        <v>26</v>
      </c>
      <c r="D33" s="1" t="s">
        <v>25</v>
      </c>
      <c r="E33" s="1" t="s">
        <v>26</v>
      </c>
      <c r="F33" s="1" t="s">
        <v>26</v>
      </c>
      <c r="G33" s="1" t="s">
        <v>25</v>
      </c>
      <c r="H33" s="1" t="s">
        <v>26</v>
      </c>
      <c r="I33" s="1" t="s">
        <v>26</v>
      </c>
      <c r="J33" s="1" t="s">
        <v>26</v>
      </c>
      <c r="K33" s="1" t="s">
        <v>26</v>
      </c>
      <c r="L33" s="1" t="s">
        <v>26</v>
      </c>
      <c r="M33" s="1" t="s">
        <v>25</v>
      </c>
      <c r="N33" s="1" t="s">
        <v>25</v>
      </c>
      <c r="O33" s="1" t="s">
        <v>25</v>
      </c>
      <c r="P33" s="1" t="s">
        <v>25</v>
      </c>
      <c r="Q33" s="1" t="s">
        <v>26</v>
      </c>
      <c r="R33" s="1">
        <v>5</v>
      </c>
      <c r="S33" s="1">
        <v>2</v>
      </c>
      <c r="T33" s="1">
        <v>3</v>
      </c>
      <c r="U33" s="1">
        <v>9</v>
      </c>
      <c r="V33" s="1">
        <v>2</v>
      </c>
      <c r="W33" s="1">
        <v>2</v>
      </c>
    </row>
    <row r="34" spans="1:23" ht="12.5" hidden="1" x14ac:dyDescent="0.25">
      <c r="A34" s="1">
        <v>11</v>
      </c>
      <c r="B34" s="1" t="s">
        <v>24</v>
      </c>
      <c r="C34" s="1" t="s">
        <v>26</v>
      </c>
      <c r="D34" s="1" t="s">
        <v>26</v>
      </c>
      <c r="E34" s="1" t="s">
        <v>26</v>
      </c>
      <c r="F34" s="1" t="s">
        <v>26</v>
      </c>
      <c r="G34" s="1" t="s">
        <v>25</v>
      </c>
      <c r="H34" s="1" t="s">
        <v>25</v>
      </c>
      <c r="I34" s="1" t="s">
        <v>26</v>
      </c>
      <c r="J34" s="1" t="s">
        <v>26</v>
      </c>
      <c r="K34" s="1" t="s">
        <v>26</v>
      </c>
      <c r="L34" s="1" t="s">
        <v>25</v>
      </c>
      <c r="M34" s="1" t="s">
        <v>25</v>
      </c>
      <c r="N34" s="1" t="s">
        <v>26</v>
      </c>
      <c r="O34" s="1" t="s">
        <v>25</v>
      </c>
      <c r="P34" s="1" t="s">
        <v>25</v>
      </c>
      <c r="Q34" s="1" t="s">
        <v>25</v>
      </c>
      <c r="R34" s="1">
        <v>2</v>
      </c>
      <c r="S34" s="1">
        <v>2</v>
      </c>
      <c r="T34" s="1">
        <v>1</v>
      </c>
      <c r="U34" s="1">
        <v>7</v>
      </c>
      <c r="V34" s="1">
        <v>2</v>
      </c>
      <c r="W34" s="1">
        <v>8</v>
      </c>
    </row>
    <row r="35" spans="1:23" ht="12.5" hidden="1" x14ac:dyDescent="0.25">
      <c r="A35" s="1">
        <v>12</v>
      </c>
      <c r="B35" s="1" t="s">
        <v>24</v>
      </c>
      <c r="C35" s="1" t="s">
        <v>25</v>
      </c>
      <c r="D35" s="1" t="s">
        <v>25</v>
      </c>
      <c r="E35" s="1" t="s">
        <v>25</v>
      </c>
      <c r="F35" s="1" t="s">
        <v>26</v>
      </c>
      <c r="G35" s="1" t="s">
        <v>26</v>
      </c>
      <c r="H35" s="1" t="s">
        <v>26</v>
      </c>
      <c r="I35" s="1" t="s">
        <v>26</v>
      </c>
      <c r="J35" s="1" t="s">
        <v>25</v>
      </c>
      <c r="K35" s="1" t="s">
        <v>25</v>
      </c>
      <c r="L35" s="1" t="s">
        <v>25</v>
      </c>
      <c r="M35" s="1" t="s">
        <v>25</v>
      </c>
      <c r="N35" s="1" t="s">
        <v>25</v>
      </c>
      <c r="O35" s="1" t="s">
        <v>25</v>
      </c>
      <c r="P35" s="1" t="s">
        <v>25</v>
      </c>
      <c r="Q35" s="1" t="s">
        <v>26</v>
      </c>
      <c r="R35" s="1">
        <v>2</v>
      </c>
      <c r="S35" s="1">
        <v>1</v>
      </c>
      <c r="T35" s="1">
        <v>5</v>
      </c>
      <c r="U35" s="1">
        <v>9</v>
      </c>
      <c r="V35" s="1">
        <v>2</v>
      </c>
      <c r="W35" s="1">
        <v>1</v>
      </c>
    </row>
    <row r="36" spans="1:23" ht="12.5" hidden="1" x14ac:dyDescent="0.25">
      <c r="A36" s="1">
        <v>12</v>
      </c>
      <c r="B36" s="1" t="s">
        <v>27</v>
      </c>
      <c r="C36" s="1" t="s">
        <v>25</v>
      </c>
      <c r="D36" s="1" t="s">
        <v>26</v>
      </c>
      <c r="E36" s="1" t="s">
        <v>26</v>
      </c>
      <c r="F36" s="1" t="s">
        <v>26</v>
      </c>
      <c r="G36" s="1" t="s">
        <v>25</v>
      </c>
      <c r="H36" s="1" t="s">
        <v>26</v>
      </c>
      <c r="I36" s="1" t="s">
        <v>26</v>
      </c>
      <c r="J36" s="1" t="s">
        <v>26</v>
      </c>
      <c r="K36" s="1" t="s">
        <v>26</v>
      </c>
      <c r="L36" s="1" t="s">
        <v>25</v>
      </c>
      <c r="M36" s="1" t="s">
        <v>25</v>
      </c>
      <c r="N36" s="1" t="s">
        <v>25</v>
      </c>
      <c r="O36" s="1" t="s">
        <v>25</v>
      </c>
      <c r="P36" s="1" t="s">
        <v>25</v>
      </c>
      <c r="Q36" s="1" t="s">
        <v>26</v>
      </c>
      <c r="R36" s="1">
        <v>6</v>
      </c>
      <c r="S36" s="1">
        <v>2</v>
      </c>
      <c r="T36" s="1">
        <v>5</v>
      </c>
      <c r="U36" s="1">
        <v>5</v>
      </c>
      <c r="V36" s="1">
        <v>6</v>
      </c>
      <c r="W36" s="1">
        <v>3</v>
      </c>
    </row>
    <row r="37" spans="1:23" ht="12.5" x14ac:dyDescent="0.25">
      <c r="A37" s="1">
        <v>12</v>
      </c>
      <c r="B37" s="1" t="s">
        <v>28</v>
      </c>
      <c r="C37" s="1" t="s">
        <v>25</v>
      </c>
      <c r="D37" s="1" t="s">
        <v>26</v>
      </c>
      <c r="E37" s="1" t="s">
        <v>26</v>
      </c>
      <c r="F37" s="1" t="s">
        <v>26</v>
      </c>
      <c r="G37" s="1" t="s">
        <v>26</v>
      </c>
      <c r="H37" s="1" t="s">
        <v>26</v>
      </c>
      <c r="I37" s="1" t="s">
        <v>26</v>
      </c>
      <c r="J37" s="1" t="s">
        <v>26</v>
      </c>
      <c r="K37" s="1" t="s">
        <v>25</v>
      </c>
      <c r="L37" s="1" t="s">
        <v>26</v>
      </c>
      <c r="M37" s="1" t="s">
        <v>26</v>
      </c>
      <c r="N37" s="1" t="s">
        <v>25</v>
      </c>
      <c r="O37" s="1" t="s">
        <v>25</v>
      </c>
      <c r="P37" s="1" t="s">
        <v>25</v>
      </c>
      <c r="Q37" s="1" t="s">
        <v>26</v>
      </c>
      <c r="R37" s="1">
        <v>3</v>
      </c>
      <c r="S37" s="1">
        <v>1</v>
      </c>
      <c r="T37" s="1">
        <v>5</v>
      </c>
      <c r="U37" s="1">
        <v>8</v>
      </c>
      <c r="V37" s="1">
        <v>3</v>
      </c>
      <c r="W37" s="1">
        <v>2</v>
      </c>
    </row>
    <row r="38" spans="1:23" ht="12.5" hidden="1" x14ac:dyDescent="0.25">
      <c r="A38" s="1">
        <v>13</v>
      </c>
      <c r="B38" s="1" t="s">
        <v>27</v>
      </c>
      <c r="C38" s="1" t="s">
        <v>25</v>
      </c>
      <c r="D38" s="1" t="s">
        <v>25</v>
      </c>
      <c r="E38" s="1" t="s">
        <v>25</v>
      </c>
      <c r="F38" s="1" t="s">
        <v>26</v>
      </c>
      <c r="G38" s="1" t="s">
        <v>26</v>
      </c>
      <c r="H38" s="1" t="s">
        <v>25</v>
      </c>
      <c r="I38" s="1" t="s">
        <v>25</v>
      </c>
      <c r="J38" s="1" t="s">
        <v>25</v>
      </c>
      <c r="K38" s="1" t="s">
        <v>26</v>
      </c>
      <c r="L38" s="1" t="s">
        <v>26</v>
      </c>
      <c r="M38" s="1" t="s">
        <v>26</v>
      </c>
      <c r="N38" s="1" t="s">
        <v>25</v>
      </c>
      <c r="O38" s="1" t="s">
        <v>25</v>
      </c>
      <c r="P38" s="1" t="s">
        <v>25</v>
      </c>
      <c r="Q38" s="1" t="s">
        <v>25</v>
      </c>
      <c r="R38" s="1">
        <v>10</v>
      </c>
      <c r="S38" s="1">
        <v>1</v>
      </c>
      <c r="T38" s="1">
        <v>8</v>
      </c>
      <c r="U38" s="1">
        <v>7</v>
      </c>
      <c r="V38" s="1">
        <v>7</v>
      </c>
      <c r="W38" s="1">
        <v>8</v>
      </c>
    </row>
    <row r="39" spans="1:23" ht="12.5" x14ac:dyDescent="0.25">
      <c r="A39" s="1">
        <v>13</v>
      </c>
      <c r="B39" s="1" t="s">
        <v>28</v>
      </c>
      <c r="C39" s="1" t="s">
        <v>25</v>
      </c>
      <c r="D39" s="1" t="s">
        <v>25</v>
      </c>
      <c r="E39" s="1" t="s">
        <v>25</v>
      </c>
      <c r="F39" s="1" t="s">
        <v>25</v>
      </c>
      <c r="G39" s="1" t="s">
        <v>25</v>
      </c>
      <c r="H39" s="1" t="s">
        <v>26</v>
      </c>
      <c r="I39" s="1" t="s">
        <v>25</v>
      </c>
      <c r="J39" s="1" t="s">
        <v>25</v>
      </c>
      <c r="K39" s="1" t="s">
        <v>26</v>
      </c>
      <c r="L39" s="1" t="s">
        <v>25</v>
      </c>
      <c r="M39" s="1" t="s">
        <v>26</v>
      </c>
      <c r="N39" s="1" t="s">
        <v>26</v>
      </c>
      <c r="O39" s="1" t="s">
        <v>25</v>
      </c>
      <c r="P39" s="1" t="s">
        <v>25</v>
      </c>
      <c r="Q39" s="1" t="s">
        <v>25</v>
      </c>
      <c r="R39" s="1">
        <v>4</v>
      </c>
      <c r="S39" s="1">
        <v>1</v>
      </c>
      <c r="T39" s="1">
        <v>5</v>
      </c>
      <c r="U39" s="1">
        <v>9</v>
      </c>
      <c r="V39" s="1">
        <v>3</v>
      </c>
      <c r="W39" s="1">
        <v>4</v>
      </c>
    </row>
    <row r="40" spans="1:23" ht="12.5" hidden="1" x14ac:dyDescent="0.25">
      <c r="A40" s="1">
        <v>13</v>
      </c>
      <c r="B40" s="1" t="s">
        <v>24</v>
      </c>
      <c r="C40" s="1" t="s">
        <v>25</v>
      </c>
      <c r="D40" s="1" t="s">
        <v>25</v>
      </c>
      <c r="E40" s="1" t="s">
        <v>25</v>
      </c>
      <c r="F40" s="1" t="s">
        <v>25</v>
      </c>
      <c r="G40" s="1" t="s">
        <v>26</v>
      </c>
      <c r="H40" s="1" t="s">
        <v>25</v>
      </c>
      <c r="I40" s="1" t="s">
        <v>25</v>
      </c>
      <c r="J40" s="1" t="s">
        <v>26</v>
      </c>
      <c r="K40" s="1" t="s">
        <v>26</v>
      </c>
      <c r="L40" s="1" t="s">
        <v>26</v>
      </c>
      <c r="M40" s="1" t="s">
        <v>26</v>
      </c>
      <c r="N40" s="1" t="s">
        <v>26</v>
      </c>
      <c r="O40" s="1" t="s">
        <v>26</v>
      </c>
      <c r="P40" s="1" t="s">
        <v>26</v>
      </c>
      <c r="Q40" s="1" t="s">
        <v>26</v>
      </c>
      <c r="R40" s="1">
        <v>7</v>
      </c>
      <c r="S40" s="1">
        <v>10</v>
      </c>
      <c r="T40" s="1">
        <v>4</v>
      </c>
      <c r="U40" s="1">
        <v>5</v>
      </c>
      <c r="V40" s="1">
        <v>9</v>
      </c>
      <c r="W40" s="1">
        <v>8</v>
      </c>
    </row>
    <row r="41" spans="1:23" ht="12.5" x14ac:dyDescent="0.25">
      <c r="A41" s="1">
        <v>14</v>
      </c>
      <c r="B41" s="1" t="s">
        <v>28</v>
      </c>
      <c r="C41" s="1" t="s">
        <v>25</v>
      </c>
      <c r="D41" s="1" t="s">
        <v>26</v>
      </c>
      <c r="E41" s="1" t="s">
        <v>26</v>
      </c>
      <c r="F41" s="1" t="s">
        <v>25</v>
      </c>
      <c r="G41" s="1" t="s">
        <v>26</v>
      </c>
      <c r="H41" s="1" t="s">
        <v>25</v>
      </c>
      <c r="I41" s="1" t="s">
        <v>26</v>
      </c>
      <c r="J41" s="1" t="s">
        <v>26</v>
      </c>
      <c r="K41" s="1" t="s">
        <v>25</v>
      </c>
      <c r="L41" s="1" t="s">
        <v>26</v>
      </c>
      <c r="M41" s="1" t="s">
        <v>25</v>
      </c>
      <c r="N41" s="1" t="s">
        <v>25</v>
      </c>
      <c r="O41" s="1" t="s">
        <v>25</v>
      </c>
      <c r="P41" s="1" t="s">
        <v>25</v>
      </c>
      <c r="Q41" s="1" t="s">
        <v>25</v>
      </c>
      <c r="R41" s="1">
        <v>6</v>
      </c>
      <c r="S41" s="1">
        <v>1</v>
      </c>
      <c r="T41" s="1">
        <v>1</v>
      </c>
      <c r="U41" s="1">
        <v>3</v>
      </c>
      <c r="V41" s="1">
        <v>6</v>
      </c>
      <c r="W41" s="1">
        <v>6</v>
      </c>
    </row>
    <row r="42" spans="1:23" ht="12.5" hidden="1" x14ac:dyDescent="0.25">
      <c r="A42" s="1">
        <v>14</v>
      </c>
      <c r="B42" s="1" t="s">
        <v>24</v>
      </c>
      <c r="C42" s="1" t="s">
        <v>25</v>
      </c>
      <c r="D42" s="1" t="s">
        <v>25</v>
      </c>
      <c r="E42" s="1" t="s">
        <v>26</v>
      </c>
      <c r="F42" s="1" t="s">
        <v>26</v>
      </c>
      <c r="G42" s="1" t="s">
        <v>26</v>
      </c>
      <c r="H42" s="1" t="s">
        <v>26</v>
      </c>
      <c r="I42" s="1" t="s">
        <v>26</v>
      </c>
      <c r="J42" s="1" t="s">
        <v>26</v>
      </c>
      <c r="K42" s="1" t="s">
        <v>26</v>
      </c>
      <c r="L42" s="1" t="s">
        <v>26</v>
      </c>
      <c r="M42" s="1" t="s">
        <v>26</v>
      </c>
      <c r="N42" s="1" t="s">
        <v>26</v>
      </c>
      <c r="O42" s="1" t="s">
        <v>25</v>
      </c>
      <c r="P42" s="1" t="s">
        <v>25</v>
      </c>
      <c r="Q42" s="1" t="s">
        <v>26</v>
      </c>
      <c r="R42" s="1">
        <v>8</v>
      </c>
      <c r="S42" s="1">
        <v>1</v>
      </c>
      <c r="T42" s="1">
        <v>1</v>
      </c>
      <c r="U42" s="1">
        <v>4</v>
      </c>
      <c r="V42" s="1">
        <v>6</v>
      </c>
      <c r="W42" s="1">
        <v>6</v>
      </c>
    </row>
    <row r="43" spans="1:23" ht="12.5" hidden="1" x14ac:dyDescent="0.25">
      <c r="A43" s="1">
        <v>14</v>
      </c>
      <c r="B43" s="1" t="s">
        <v>27</v>
      </c>
      <c r="C43" s="1" t="s">
        <v>25</v>
      </c>
      <c r="D43" s="1" t="s">
        <v>26</v>
      </c>
      <c r="E43" s="1" t="s">
        <v>26</v>
      </c>
      <c r="F43" s="1" t="s">
        <v>26</v>
      </c>
      <c r="G43" s="1" t="s">
        <v>26</v>
      </c>
      <c r="H43" s="1" t="s">
        <v>26</v>
      </c>
      <c r="I43" s="1" t="s">
        <v>26</v>
      </c>
      <c r="J43" s="1" t="s">
        <v>26</v>
      </c>
      <c r="K43" s="1" t="s">
        <v>25</v>
      </c>
      <c r="L43" s="1" t="s">
        <v>26</v>
      </c>
      <c r="M43" s="1" t="s">
        <v>26</v>
      </c>
      <c r="N43" s="1" t="s">
        <v>25</v>
      </c>
      <c r="O43" s="1" t="s">
        <v>26</v>
      </c>
      <c r="P43" s="1" t="s">
        <v>25</v>
      </c>
      <c r="Q43" s="1" t="s">
        <v>25</v>
      </c>
      <c r="R43" s="1">
        <v>5</v>
      </c>
      <c r="S43" s="1">
        <v>1</v>
      </c>
      <c r="T43" s="1">
        <v>5</v>
      </c>
      <c r="U43" s="1">
        <v>4</v>
      </c>
      <c r="V43" s="1">
        <v>6</v>
      </c>
      <c r="W43" s="1">
        <v>7</v>
      </c>
    </row>
    <row r="44" spans="1:23" ht="12.5" hidden="1" x14ac:dyDescent="0.25">
      <c r="A44" s="1">
        <v>15</v>
      </c>
      <c r="B44" s="1" t="s">
        <v>24</v>
      </c>
      <c r="C44" s="1" t="s">
        <v>26</v>
      </c>
      <c r="D44" s="1" t="s">
        <v>25</v>
      </c>
      <c r="E44" s="1" t="s">
        <v>25</v>
      </c>
      <c r="F44" s="1" t="s">
        <v>25</v>
      </c>
      <c r="G44" s="1" t="s">
        <v>25</v>
      </c>
      <c r="H44" s="1" t="s">
        <v>26</v>
      </c>
      <c r="I44" s="1" t="s">
        <v>26</v>
      </c>
      <c r="J44" s="1" t="s">
        <v>25</v>
      </c>
      <c r="K44" s="1" t="s">
        <v>26</v>
      </c>
      <c r="L44" s="1" t="s">
        <v>25</v>
      </c>
      <c r="M44" s="1" t="s">
        <v>26</v>
      </c>
      <c r="N44" s="1" t="s">
        <v>25</v>
      </c>
      <c r="O44" s="1" t="s">
        <v>26</v>
      </c>
      <c r="P44" s="1" t="s">
        <v>25</v>
      </c>
      <c r="Q44" s="1" t="s">
        <v>26</v>
      </c>
      <c r="R44" s="1">
        <v>2</v>
      </c>
      <c r="S44" s="1">
        <v>1</v>
      </c>
      <c r="T44" s="1">
        <v>1</v>
      </c>
      <c r="U44" s="1">
        <v>7</v>
      </c>
      <c r="V44" s="1">
        <v>1</v>
      </c>
      <c r="W44" s="1">
        <v>8</v>
      </c>
    </row>
    <row r="45" spans="1:23" ht="12.5" hidden="1" x14ac:dyDescent="0.25">
      <c r="A45" s="1">
        <v>15</v>
      </c>
      <c r="B45" s="1" t="s">
        <v>27</v>
      </c>
      <c r="C45" s="1" t="s">
        <v>25</v>
      </c>
      <c r="D45" s="1" t="s">
        <v>25</v>
      </c>
      <c r="E45" s="1" t="s">
        <v>25</v>
      </c>
      <c r="F45" s="1" t="s">
        <v>25</v>
      </c>
      <c r="G45" s="1" t="s">
        <v>25</v>
      </c>
      <c r="H45" s="1" t="s">
        <v>26</v>
      </c>
      <c r="I45" s="1" t="s">
        <v>25</v>
      </c>
      <c r="J45" s="1" t="s">
        <v>25</v>
      </c>
      <c r="K45" s="1" t="s">
        <v>26</v>
      </c>
      <c r="L45" s="1" t="s">
        <v>25</v>
      </c>
      <c r="M45" s="1" t="s">
        <v>26</v>
      </c>
      <c r="N45" s="1" t="s">
        <v>26</v>
      </c>
      <c r="O45" s="1" t="s">
        <v>26</v>
      </c>
      <c r="P45" s="1" t="s">
        <v>26</v>
      </c>
      <c r="Q45" s="1" t="s">
        <v>25</v>
      </c>
      <c r="R45" s="1">
        <v>5</v>
      </c>
      <c r="S45" s="1">
        <v>6</v>
      </c>
      <c r="T45" s="1">
        <v>1</v>
      </c>
      <c r="U45" s="1">
        <v>5</v>
      </c>
      <c r="V45" s="1">
        <v>5</v>
      </c>
      <c r="W45" s="1">
        <v>7</v>
      </c>
    </row>
    <row r="46" spans="1:23" ht="12.5" x14ac:dyDescent="0.25">
      <c r="A46" s="1">
        <v>15</v>
      </c>
      <c r="B46" s="1" t="s">
        <v>28</v>
      </c>
      <c r="C46" s="1" t="s">
        <v>25</v>
      </c>
      <c r="D46" s="1" t="s">
        <v>25</v>
      </c>
      <c r="E46" s="1" t="s">
        <v>25</v>
      </c>
      <c r="F46" s="1" t="s">
        <v>26</v>
      </c>
      <c r="G46" s="1" t="s">
        <v>25</v>
      </c>
      <c r="H46" s="1" t="s">
        <v>26</v>
      </c>
      <c r="I46" s="1" t="s">
        <v>25</v>
      </c>
      <c r="J46" s="1" t="s">
        <v>25</v>
      </c>
      <c r="K46" s="1" t="s">
        <v>26</v>
      </c>
      <c r="L46" s="1" t="s">
        <v>25</v>
      </c>
      <c r="M46" s="1" t="s">
        <v>26</v>
      </c>
      <c r="N46" s="1" t="s">
        <v>26</v>
      </c>
      <c r="O46" s="1" t="s">
        <v>26</v>
      </c>
      <c r="P46" s="1" t="s">
        <v>25</v>
      </c>
      <c r="Q46" s="1" t="s">
        <v>25</v>
      </c>
      <c r="R46" s="1">
        <v>1</v>
      </c>
      <c r="S46" s="1">
        <v>1</v>
      </c>
      <c r="T46" s="1">
        <v>1</v>
      </c>
      <c r="U46" s="1">
        <v>8</v>
      </c>
      <c r="V46" s="1">
        <v>4</v>
      </c>
      <c r="W46" s="1">
        <v>5</v>
      </c>
    </row>
    <row r="47" spans="1:23" ht="12.5" hidden="1" x14ac:dyDescent="0.25">
      <c r="A47" s="1">
        <v>16</v>
      </c>
      <c r="B47" s="1" t="s">
        <v>24</v>
      </c>
      <c r="C47" s="1" t="s">
        <v>26</v>
      </c>
      <c r="D47" s="1" t="s">
        <v>25</v>
      </c>
      <c r="E47" s="1" t="s">
        <v>25</v>
      </c>
      <c r="F47" s="1" t="s">
        <v>25</v>
      </c>
      <c r="G47" s="1" t="s">
        <v>26</v>
      </c>
      <c r="H47" s="1" t="s">
        <v>26</v>
      </c>
      <c r="I47" s="1" t="s">
        <v>25</v>
      </c>
      <c r="J47" s="1" t="s">
        <v>25</v>
      </c>
      <c r="K47" s="1" t="s">
        <v>25</v>
      </c>
      <c r="L47" s="1" t="s">
        <v>26</v>
      </c>
      <c r="M47" s="1" t="s">
        <v>26</v>
      </c>
      <c r="N47" s="1" t="s">
        <v>25</v>
      </c>
      <c r="O47" s="1" t="s">
        <v>26</v>
      </c>
      <c r="P47" s="1" t="s">
        <v>26</v>
      </c>
      <c r="Q47" s="1" t="s">
        <v>25</v>
      </c>
      <c r="R47" s="1">
        <v>4</v>
      </c>
      <c r="S47" s="1">
        <v>6</v>
      </c>
      <c r="T47" s="1">
        <v>3</v>
      </c>
      <c r="U47" s="1">
        <v>6</v>
      </c>
      <c r="V47" s="1">
        <v>4</v>
      </c>
      <c r="W47" s="1">
        <v>1</v>
      </c>
    </row>
    <row r="48" spans="1:23" ht="12.5" x14ac:dyDescent="0.25">
      <c r="A48" s="1">
        <v>16</v>
      </c>
      <c r="B48" s="1" t="s">
        <v>28</v>
      </c>
      <c r="C48" s="1" t="s">
        <v>26</v>
      </c>
      <c r="D48" s="1" t="s">
        <v>25</v>
      </c>
      <c r="E48" s="1" t="s">
        <v>25</v>
      </c>
      <c r="F48" s="1" t="s">
        <v>25</v>
      </c>
      <c r="G48" s="1" t="s">
        <v>26</v>
      </c>
      <c r="H48" s="1" t="s">
        <v>26</v>
      </c>
      <c r="I48" s="1" t="s">
        <v>25</v>
      </c>
      <c r="J48" s="1" t="s">
        <v>25</v>
      </c>
      <c r="K48" s="1" t="s">
        <v>25</v>
      </c>
      <c r="L48" s="1" t="s">
        <v>25</v>
      </c>
      <c r="M48" s="1" t="s">
        <v>26</v>
      </c>
      <c r="N48" s="1" t="s">
        <v>25</v>
      </c>
      <c r="O48" s="1" t="s">
        <v>26</v>
      </c>
      <c r="P48" s="1" t="s">
        <v>26</v>
      </c>
      <c r="Q48" s="1" t="s">
        <v>25</v>
      </c>
      <c r="R48" s="1">
        <v>4</v>
      </c>
      <c r="S48" s="1">
        <v>6</v>
      </c>
      <c r="T48" s="1">
        <v>3</v>
      </c>
      <c r="U48" s="1">
        <v>6</v>
      </c>
      <c r="V48" s="1">
        <v>5</v>
      </c>
      <c r="W48" s="1">
        <v>1</v>
      </c>
    </row>
    <row r="49" spans="1:23" ht="12.5" hidden="1" x14ac:dyDescent="0.25">
      <c r="A49" s="1">
        <v>16</v>
      </c>
      <c r="B49" s="1" t="s">
        <v>27</v>
      </c>
      <c r="C49" s="1" t="s">
        <v>25</v>
      </c>
      <c r="D49" s="1" t="s">
        <v>26</v>
      </c>
      <c r="E49" s="1" t="s">
        <v>26</v>
      </c>
      <c r="F49" s="1" t="s">
        <v>25</v>
      </c>
      <c r="G49" s="1" t="s">
        <v>25</v>
      </c>
      <c r="H49" s="1" t="s">
        <v>25</v>
      </c>
      <c r="I49" s="1" t="s">
        <v>25</v>
      </c>
      <c r="J49" s="1" t="s">
        <v>26</v>
      </c>
      <c r="K49" s="1" t="s">
        <v>26</v>
      </c>
      <c r="L49" s="1" t="s">
        <v>26</v>
      </c>
      <c r="M49" s="1" t="s">
        <v>25</v>
      </c>
      <c r="N49" s="1" t="s">
        <v>26</v>
      </c>
      <c r="O49" s="1" t="s">
        <v>25</v>
      </c>
      <c r="P49" s="1" t="s">
        <v>25</v>
      </c>
      <c r="Q49" s="1" t="s">
        <v>26</v>
      </c>
      <c r="R49" s="1">
        <v>8</v>
      </c>
      <c r="S49" s="1">
        <v>6</v>
      </c>
      <c r="T49" s="1">
        <v>3</v>
      </c>
      <c r="U49" s="1">
        <v>5</v>
      </c>
      <c r="V49" s="1">
        <v>5</v>
      </c>
      <c r="W49" s="1">
        <v>1</v>
      </c>
    </row>
    <row r="50" spans="1:23" ht="12.5" hidden="1" x14ac:dyDescent="0.25">
      <c r="A50" s="1">
        <v>17</v>
      </c>
      <c r="B50" s="1" t="s">
        <v>27</v>
      </c>
      <c r="C50" s="1" t="s">
        <v>25</v>
      </c>
      <c r="D50" s="1" t="s">
        <v>26</v>
      </c>
      <c r="E50" s="1" t="s">
        <v>25</v>
      </c>
      <c r="F50" s="1" t="s">
        <v>26</v>
      </c>
      <c r="G50" s="1" t="s">
        <v>25</v>
      </c>
      <c r="H50" s="1" t="s">
        <v>26</v>
      </c>
      <c r="I50" s="1" t="s">
        <v>26</v>
      </c>
      <c r="J50" s="1" t="s">
        <v>26</v>
      </c>
      <c r="K50" s="1" t="s">
        <v>25</v>
      </c>
      <c r="L50" s="1" t="s">
        <v>26</v>
      </c>
      <c r="M50" s="1" t="s">
        <v>25</v>
      </c>
      <c r="N50" s="1" t="s">
        <v>25</v>
      </c>
      <c r="O50" s="1" t="s">
        <v>25</v>
      </c>
      <c r="P50" s="1" t="s">
        <v>25</v>
      </c>
      <c r="Q50" s="1" t="s">
        <v>26</v>
      </c>
      <c r="R50" s="1">
        <v>7</v>
      </c>
      <c r="S50" s="1">
        <v>1</v>
      </c>
      <c r="T50" s="1">
        <v>5</v>
      </c>
      <c r="U50" s="1">
        <v>7</v>
      </c>
      <c r="V50" s="1">
        <v>2</v>
      </c>
      <c r="W50" s="1">
        <v>2</v>
      </c>
    </row>
    <row r="51" spans="1:23" ht="12.5" x14ac:dyDescent="0.25">
      <c r="A51" s="1">
        <v>17</v>
      </c>
      <c r="B51" s="1" t="s">
        <v>28</v>
      </c>
      <c r="C51" s="1" t="s">
        <v>26</v>
      </c>
      <c r="D51" s="1" t="s">
        <v>25</v>
      </c>
      <c r="E51" s="1" t="s">
        <v>25</v>
      </c>
      <c r="F51" s="1" t="s">
        <v>26</v>
      </c>
      <c r="G51" s="1" t="s">
        <v>25</v>
      </c>
      <c r="H51" s="1" t="s">
        <v>26</v>
      </c>
      <c r="I51" s="1" t="s">
        <v>26</v>
      </c>
      <c r="J51" s="1" t="s">
        <v>25</v>
      </c>
      <c r="K51" s="1" t="s">
        <v>26</v>
      </c>
      <c r="L51" s="1" t="s">
        <v>25</v>
      </c>
      <c r="M51" s="1" t="s">
        <v>25</v>
      </c>
      <c r="N51" s="1" t="s">
        <v>26</v>
      </c>
      <c r="O51" s="1" t="s">
        <v>25</v>
      </c>
      <c r="P51" s="1" t="s">
        <v>25</v>
      </c>
      <c r="Q51" s="1" t="s">
        <v>25</v>
      </c>
      <c r="R51" s="1">
        <v>3</v>
      </c>
      <c r="S51" s="1">
        <v>1</v>
      </c>
      <c r="T51" s="1">
        <v>5</v>
      </c>
      <c r="U51" s="1">
        <v>7</v>
      </c>
      <c r="V51" s="1">
        <v>6</v>
      </c>
      <c r="W51" s="1">
        <v>1</v>
      </c>
    </row>
    <row r="52" spans="1:23" ht="12.5" hidden="1" x14ac:dyDescent="0.25">
      <c r="A52" s="1">
        <v>17</v>
      </c>
      <c r="B52" s="1" t="s">
        <v>24</v>
      </c>
      <c r="C52" s="1" t="s">
        <v>26</v>
      </c>
      <c r="D52" s="1" t="s">
        <v>25</v>
      </c>
      <c r="E52" s="1" t="s">
        <v>25</v>
      </c>
      <c r="F52" s="1" t="s">
        <v>26</v>
      </c>
      <c r="G52" s="1" t="s">
        <v>25</v>
      </c>
      <c r="H52" s="1" t="s">
        <v>26</v>
      </c>
      <c r="I52" s="1" t="s">
        <v>26</v>
      </c>
      <c r="J52" s="1" t="s">
        <v>25</v>
      </c>
      <c r="K52" s="1" t="s">
        <v>26</v>
      </c>
      <c r="L52" s="1" t="s">
        <v>25</v>
      </c>
      <c r="M52" s="1" t="s">
        <v>26</v>
      </c>
      <c r="N52" s="1" t="s">
        <v>26</v>
      </c>
      <c r="O52" s="1" t="s">
        <v>25</v>
      </c>
      <c r="P52" s="1" t="s">
        <v>25</v>
      </c>
      <c r="Q52" s="1" t="s">
        <v>26</v>
      </c>
      <c r="R52" s="1">
        <v>2</v>
      </c>
      <c r="S52" s="1">
        <v>1</v>
      </c>
      <c r="T52" s="1">
        <v>4</v>
      </c>
      <c r="U52" s="1">
        <v>7</v>
      </c>
      <c r="V52" s="1">
        <v>8</v>
      </c>
      <c r="W52" s="1">
        <v>1</v>
      </c>
    </row>
    <row r="53" spans="1:23" ht="12.5" x14ac:dyDescent="0.25">
      <c r="A53" s="1">
        <v>18</v>
      </c>
      <c r="B53" s="1" t="s">
        <v>28</v>
      </c>
      <c r="C53" s="1" t="s">
        <v>25</v>
      </c>
      <c r="D53" s="1" t="s">
        <v>25</v>
      </c>
      <c r="E53" s="1" t="s">
        <v>25</v>
      </c>
      <c r="F53" s="1" t="s">
        <v>25</v>
      </c>
      <c r="G53" s="1" t="s">
        <v>25</v>
      </c>
      <c r="H53" s="1" t="s">
        <v>26</v>
      </c>
      <c r="I53" s="1" t="s">
        <v>25</v>
      </c>
      <c r="J53" s="1" t="s">
        <v>25</v>
      </c>
      <c r="K53" s="1" t="s">
        <v>26</v>
      </c>
      <c r="L53" s="1" t="s">
        <v>26</v>
      </c>
      <c r="M53" s="1" t="s">
        <v>25</v>
      </c>
      <c r="N53" s="1" t="s">
        <v>26</v>
      </c>
      <c r="O53" s="1" t="s">
        <v>26</v>
      </c>
      <c r="P53" s="1" t="s">
        <v>26</v>
      </c>
      <c r="Q53" s="1" t="s">
        <v>26</v>
      </c>
      <c r="R53" s="1">
        <v>3</v>
      </c>
      <c r="S53" s="1">
        <v>8</v>
      </c>
      <c r="T53" s="1">
        <v>1</v>
      </c>
      <c r="U53" s="1">
        <v>6</v>
      </c>
      <c r="V53" s="1">
        <v>8</v>
      </c>
      <c r="W53" s="1">
        <v>1</v>
      </c>
    </row>
    <row r="54" spans="1:23" ht="12.5" hidden="1" x14ac:dyDescent="0.25">
      <c r="A54" s="1">
        <v>18</v>
      </c>
      <c r="B54" s="1" t="s">
        <v>24</v>
      </c>
      <c r="C54" s="1" t="s">
        <v>25</v>
      </c>
      <c r="D54" s="1" t="s">
        <v>25</v>
      </c>
      <c r="E54" s="1" t="s">
        <v>25</v>
      </c>
      <c r="F54" s="1" t="s">
        <v>25</v>
      </c>
      <c r="G54" s="1" t="s">
        <v>25</v>
      </c>
      <c r="H54" s="1" t="s">
        <v>26</v>
      </c>
      <c r="I54" s="1" t="s">
        <v>25</v>
      </c>
      <c r="J54" s="1" t="s">
        <v>25</v>
      </c>
      <c r="K54" s="1" t="s">
        <v>26</v>
      </c>
      <c r="L54" s="1" t="s">
        <v>25</v>
      </c>
      <c r="M54" s="1" t="s">
        <v>26</v>
      </c>
      <c r="N54" s="1" t="s">
        <v>26</v>
      </c>
      <c r="O54" s="1" t="s">
        <v>26</v>
      </c>
      <c r="P54" s="1" t="s">
        <v>26</v>
      </c>
      <c r="Q54" s="1" t="s">
        <v>26</v>
      </c>
      <c r="R54" s="1">
        <v>6</v>
      </c>
      <c r="S54" s="1">
        <v>7</v>
      </c>
      <c r="T54" s="1">
        <v>2</v>
      </c>
      <c r="U54" s="1">
        <v>7</v>
      </c>
      <c r="V54" s="1">
        <v>4</v>
      </c>
      <c r="W54" s="1">
        <v>7</v>
      </c>
    </row>
    <row r="55" spans="1:23" ht="12.5" hidden="1" x14ac:dyDescent="0.25">
      <c r="A55" s="1">
        <v>18</v>
      </c>
      <c r="B55" s="1" t="s">
        <v>27</v>
      </c>
      <c r="C55" s="1" t="s">
        <v>26</v>
      </c>
      <c r="D55" s="1" t="s">
        <v>25</v>
      </c>
      <c r="E55" s="1" t="s">
        <v>25</v>
      </c>
      <c r="F55" s="1" t="s">
        <v>25</v>
      </c>
      <c r="G55" s="1" t="s">
        <v>26</v>
      </c>
      <c r="H55" s="1" t="s">
        <v>25</v>
      </c>
      <c r="I55" s="1" t="s">
        <v>26</v>
      </c>
      <c r="J55" s="1" t="s">
        <v>25</v>
      </c>
      <c r="K55" s="1" t="s">
        <v>25</v>
      </c>
      <c r="L55" s="1" t="s">
        <v>26</v>
      </c>
      <c r="M55" s="1" t="s">
        <v>26</v>
      </c>
      <c r="N55" s="1" t="s">
        <v>26</v>
      </c>
      <c r="O55" s="1" t="s">
        <v>25</v>
      </c>
      <c r="P55" s="1" t="s">
        <v>26</v>
      </c>
      <c r="Q55" s="1" t="s">
        <v>26</v>
      </c>
      <c r="R55" s="1">
        <v>9</v>
      </c>
      <c r="S55" s="1">
        <v>8</v>
      </c>
      <c r="T55" s="1">
        <v>2</v>
      </c>
      <c r="U55" s="1">
        <v>2</v>
      </c>
      <c r="V55" s="1">
        <v>4</v>
      </c>
      <c r="W55" s="1">
        <v>7</v>
      </c>
    </row>
    <row r="56" spans="1:23" ht="12.5" hidden="1" x14ac:dyDescent="0.25">
      <c r="A56" s="1">
        <v>19</v>
      </c>
      <c r="B56" s="1" t="s">
        <v>27</v>
      </c>
      <c r="C56" s="1" t="s">
        <v>26</v>
      </c>
      <c r="D56" s="1" t="s">
        <v>25</v>
      </c>
      <c r="E56" s="1" t="s">
        <v>26</v>
      </c>
      <c r="F56" s="1" t="s">
        <v>25</v>
      </c>
      <c r="G56" s="1" t="s">
        <v>25</v>
      </c>
      <c r="H56" s="1" t="s">
        <v>25</v>
      </c>
      <c r="I56" s="1" t="s">
        <v>25</v>
      </c>
      <c r="J56" s="1" t="s">
        <v>26</v>
      </c>
      <c r="K56" s="1" t="s">
        <v>26</v>
      </c>
      <c r="L56" s="1" t="s">
        <v>25</v>
      </c>
      <c r="M56" s="1" t="s">
        <v>25</v>
      </c>
      <c r="N56" s="1" t="s">
        <v>25</v>
      </c>
      <c r="O56" s="1" t="s">
        <v>25</v>
      </c>
      <c r="P56" s="1" t="s">
        <v>26</v>
      </c>
      <c r="Q56" s="1" t="s">
        <v>26</v>
      </c>
      <c r="R56" s="1">
        <v>7</v>
      </c>
      <c r="S56" s="1">
        <v>7</v>
      </c>
      <c r="T56" s="1">
        <v>6</v>
      </c>
      <c r="U56" s="1">
        <v>8</v>
      </c>
      <c r="V56" s="1">
        <v>9</v>
      </c>
      <c r="W56" s="1">
        <v>1</v>
      </c>
    </row>
    <row r="57" spans="1:23" ht="12.5" x14ac:dyDescent="0.25">
      <c r="A57" s="1">
        <v>19</v>
      </c>
      <c r="B57" s="1" t="s">
        <v>28</v>
      </c>
      <c r="C57" s="1" t="s">
        <v>25</v>
      </c>
      <c r="D57" s="1" t="s">
        <v>25</v>
      </c>
      <c r="E57" s="1" t="s">
        <v>26</v>
      </c>
      <c r="F57" s="1" t="s">
        <v>25</v>
      </c>
      <c r="G57" s="1" t="s">
        <v>25</v>
      </c>
      <c r="H57" s="1" t="s">
        <v>26</v>
      </c>
      <c r="I57" s="1" t="s">
        <v>25</v>
      </c>
      <c r="J57" s="1" t="s">
        <v>25</v>
      </c>
      <c r="K57" s="1" t="s">
        <v>26</v>
      </c>
      <c r="L57" s="1" t="s">
        <v>26</v>
      </c>
      <c r="M57" s="1" t="s">
        <v>26</v>
      </c>
      <c r="N57" s="1" t="s">
        <v>25</v>
      </c>
      <c r="O57" s="1" t="s">
        <v>25</v>
      </c>
      <c r="P57" s="1" t="s">
        <v>26</v>
      </c>
      <c r="Q57" s="1" t="s">
        <v>26</v>
      </c>
      <c r="R57" s="1">
        <v>9</v>
      </c>
      <c r="S57" s="1">
        <v>8</v>
      </c>
      <c r="T57" s="1">
        <v>8</v>
      </c>
      <c r="U57" s="1">
        <v>10</v>
      </c>
      <c r="V57" s="1">
        <v>9</v>
      </c>
      <c r="W57" s="1">
        <v>1</v>
      </c>
    </row>
    <row r="58" spans="1:23" ht="12.5" hidden="1" x14ac:dyDescent="0.25">
      <c r="A58" s="1">
        <v>19</v>
      </c>
      <c r="B58" s="1" t="s">
        <v>24</v>
      </c>
      <c r="C58" s="1" t="s">
        <v>26</v>
      </c>
      <c r="D58" s="1" t="s">
        <v>25</v>
      </c>
      <c r="E58" s="1" t="s">
        <v>26</v>
      </c>
      <c r="F58" s="1" t="s">
        <v>25</v>
      </c>
      <c r="G58" s="1" t="s">
        <v>25</v>
      </c>
      <c r="H58" s="1" t="s">
        <v>26</v>
      </c>
      <c r="I58" s="1" t="s">
        <v>26</v>
      </c>
      <c r="J58" s="1" t="s">
        <v>25</v>
      </c>
      <c r="K58" s="1" t="s">
        <v>26</v>
      </c>
      <c r="L58" s="1" t="s">
        <v>25</v>
      </c>
      <c r="M58" s="1" t="s">
        <v>25</v>
      </c>
      <c r="N58" s="1" t="s">
        <v>25</v>
      </c>
      <c r="O58" s="1" t="s">
        <v>25</v>
      </c>
      <c r="P58" s="1" t="s">
        <v>25</v>
      </c>
      <c r="Q58" s="1" t="s">
        <v>26</v>
      </c>
      <c r="R58" s="1">
        <v>4</v>
      </c>
      <c r="S58" s="1">
        <v>7</v>
      </c>
      <c r="T58" s="1">
        <v>7</v>
      </c>
      <c r="U58" s="1">
        <v>10</v>
      </c>
      <c r="V58" s="1">
        <v>6</v>
      </c>
      <c r="W58" s="1">
        <v>1</v>
      </c>
    </row>
    <row r="59" spans="1:23" ht="12.5" x14ac:dyDescent="0.25">
      <c r="A59" s="1">
        <v>20</v>
      </c>
      <c r="B59" s="1" t="s">
        <v>28</v>
      </c>
      <c r="C59" s="1" t="s">
        <v>26</v>
      </c>
      <c r="D59" s="1" t="s">
        <v>25</v>
      </c>
      <c r="E59" s="1" t="s">
        <v>25</v>
      </c>
      <c r="F59" s="1" t="s">
        <v>25</v>
      </c>
      <c r="G59" s="1" t="s">
        <v>25</v>
      </c>
      <c r="H59" s="1" t="s">
        <v>26</v>
      </c>
      <c r="I59" s="1" t="s">
        <v>26</v>
      </c>
      <c r="J59" s="1" t="s">
        <v>25</v>
      </c>
      <c r="K59" s="1" t="s">
        <v>26</v>
      </c>
      <c r="L59" s="1" t="s">
        <v>26</v>
      </c>
      <c r="M59" s="1" t="s">
        <v>26</v>
      </c>
      <c r="N59" s="1" t="s">
        <v>25</v>
      </c>
      <c r="O59" s="1" t="s">
        <v>25</v>
      </c>
      <c r="P59" s="1" t="s">
        <v>25</v>
      </c>
      <c r="Q59" s="1" t="s">
        <v>26</v>
      </c>
      <c r="R59" s="1">
        <v>2</v>
      </c>
      <c r="S59" s="1">
        <v>1</v>
      </c>
      <c r="T59" s="1">
        <v>4</v>
      </c>
      <c r="U59" s="1">
        <v>8</v>
      </c>
      <c r="V59" s="1">
        <v>4</v>
      </c>
      <c r="W59" s="1">
        <v>1</v>
      </c>
    </row>
    <row r="60" spans="1:23" ht="12.5" hidden="1" x14ac:dyDescent="0.25">
      <c r="A60" s="1">
        <v>20</v>
      </c>
      <c r="B60" s="1" t="s">
        <v>24</v>
      </c>
      <c r="C60" s="1" t="s">
        <v>26</v>
      </c>
      <c r="D60" s="1" t="s">
        <v>25</v>
      </c>
      <c r="E60" s="1" t="s">
        <v>25</v>
      </c>
      <c r="F60" s="1" t="s">
        <v>25</v>
      </c>
      <c r="G60" s="1" t="s">
        <v>25</v>
      </c>
      <c r="H60" s="1" t="s">
        <v>26</v>
      </c>
      <c r="I60" s="1" t="s">
        <v>26</v>
      </c>
      <c r="J60" s="1" t="s">
        <v>25</v>
      </c>
      <c r="K60" s="1" t="s">
        <v>26</v>
      </c>
      <c r="L60" s="1" t="s">
        <v>25</v>
      </c>
      <c r="M60" s="1" t="s">
        <v>25</v>
      </c>
      <c r="N60" s="1" t="s">
        <v>25</v>
      </c>
      <c r="O60" s="1" t="s">
        <v>25</v>
      </c>
      <c r="P60" s="1" t="s">
        <v>25</v>
      </c>
      <c r="Q60" s="1" t="s">
        <v>26</v>
      </c>
      <c r="R60" s="1">
        <v>5</v>
      </c>
      <c r="S60" s="1">
        <v>3</v>
      </c>
      <c r="T60" s="1">
        <v>4</v>
      </c>
      <c r="U60" s="1">
        <v>9</v>
      </c>
      <c r="V60" s="1">
        <v>5</v>
      </c>
      <c r="W60" s="1">
        <v>2</v>
      </c>
    </row>
    <row r="61" spans="1:23" ht="12.5" hidden="1" x14ac:dyDescent="0.25">
      <c r="A61" s="1">
        <v>20</v>
      </c>
      <c r="B61" s="1" t="s">
        <v>27</v>
      </c>
      <c r="C61" s="1" t="s">
        <v>26</v>
      </c>
      <c r="D61" s="1" t="s">
        <v>25</v>
      </c>
      <c r="E61" s="1" t="s">
        <v>26</v>
      </c>
      <c r="F61" s="1" t="s">
        <v>25</v>
      </c>
      <c r="G61" s="1" t="s">
        <v>25</v>
      </c>
      <c r="H61" s="1" t="s">
        <v>26</v>
      </c>
      <c r="I61" s="1" t="s">
        <v>26</v>
      </c>
      <c r="J61" s="1" t="s">
        <v>26</v>
      </c>
      <c r="K61" s="1" t="s">
        <v>26</v>
      </c>
      <c r="L61" s="1" t="s">
        <v>25</v>
      </c>
      <c r="M61" s="1" t="s">
        <v>25</v>
      </c>
      <c r="N61" s="1" t="s">
        <v>26</v>
      </c>
      <c r="O61" s="1" t="s">
        <v>26</v>
      </c>
      <c r="P61" s="1" t="s">
        <v>25</v>
      </c>
      <c r="Q61" s="1" t="s">
        <v>26</v>
      </c>
      <c r="R61" s="1">
        <v>7</v>
      </c>
      <c r="S61" s="1">
        <v>4</v>
      </c>
      <c r="T61" s="1">
        <v>5</v>
      </c>
      <c r="U61" s="1">
        <v>7</v>
      </c>
      <c r="V61" s="1">
        <v>6</v>
      </c>
      <c r="W61" s="1">
        <v>3</v>
      </c>
    </row>
    <row r="62" spans="1:23" ht="12.5" hidden="1" x14ac:dyDescent="0.25">
      <c r="A62" s="1">
        <v>21</v>
      </c>
      <c r="B62" s="1" t="s">
        <v>27</v>
      </c>
      <c r="C62" s="1" t="s">
        <v>25</v>
      </c>
      <c r="D62" s="1" t="s">
        <v>25</v>
      </c>
      <c r="E62" s="1" t="s">
        <v>25</v>
      </c>
      <c r="F62" s="1" t="s">
        <v>25</v>
      </c>
      <c r="G62" s="1" t="s">
        <v>25</v>
      </c>
      <c r="H62" s="1" t="s">
        <v>25</v>
      </c>
      <c r="I62" s="1" t="s">
        <v>25</v>
      </c>
      <c r="J62" s="1" t="s">
        <v>26</v>
      </c>
      <c r="K62" s="1" t="s">
        <v>26</v>
      </c>
      <c r="L62" s="1" t="s">
        <v>25</v>
      </c>
      <c r="M62" s="1" t="s">
        <v>26</v>
      </c>
      <c r="N62" s="1" t="s">
        <v>25</v>
      </c>
      <c r="O62" s="1" t="s">
        <v>26</v>
      </c>
      <c r="P62" s="1" t="s">
        <v>25</v>
      </c>
      <c r="Q62" s="1" t="s">
        <v>26</v>
      </c>
      <c r="R62" s="1">
        <v>3</v>
      </c>
      <c r="S62" s="1">
        <v>5</v>
      </c>
      <c r="T62" s="1">
        <v>7</v>
      </c>
      <c r="U62" s="1">
        <v>5</v>
      </c>
      <c r="V62" s="1">
        <v>4</v>
      </c>
      <c r="W62" s="1">
        <v>6</v>
      </c>
    </row>
    <row r="63" spans="1:23" ht="12.5" x14ac:dyDescent="0.25">
      <c r="A63" s="1">
        <v>21</v>
      </c>
      <c r="B63" s="1" t="s">
        <v>28</v>
      </c>
      <c r="C63" s="1" t="s">
        <v>25</v>
      </c>
      <c r="D63" s="1" t="s">
        <v>25</v>
      </c>
      <c r="E63" s="1" t="s">
        <v>26</v>
      </c>
      <c r="F63" s="1" t="s">
        <v>25</v>
      </c>
      <c r="G63" s="1" t="s">
        <v>25</v>
      </c>
      <c r="H63" s="1" t="s">
        <v>25</v>
      </c>
      <c r="I63" s="1" t="s">
        <v>25</v>
      </c>
      <c r="J63" s="1" t="s">
        <v>25</v>
      </c>
      <c r="K63" s="1" t="s">
        <v>26</v>
      </c>
      <c r="L63" s="1" t="s">
        <v>26</v>
      </c>
      <c r="M63" s="1" t="s">
        <v>25</v>
      </c>
      <c r="N63" s="1" t="s">
        <v>25</v>
      </c>
      <c r="O63" s="1" t="s">
        <v>25</v>
      </c>
      <c r="P63" s="1" t="s">
        <v>26</v>
      </c>
      <c r="Q63" s="1" t="s">
        <v>25</v>
      </c>
      <c r="R63" s="1">
        <v>2</v>
      </c>
      <c r="S63" s="1">
        <v>2</v>
      </c>
      <c r="T63" s="1">
        <v>5</v>
      </c>
      <c r="U63" s="1">
        <v>7</v>
      </c>
      <c r="V63" s="1">
        <v>2</v>
      </c>
      <c r="W63" s="1">
        <v>1</v>
      </c>
    </row>
    <row r="64" spans="1:23" ht="12.5" hidden="1" x14ac:dyDescent="0.25">
      <c r="A64" s="1">
        <v>21</v>
      </c>
      <c r="B64" s="1" t="s">
        <v>24</v>
      </c>
      <c r="C64" s="1" t="s">
        <v>25</v>
      </c>
      <c r="D64" s="1" t="s">
        <v>25</v>
      </c>
      <c r="E64" s="1" t="s">
        <v>26</v>
      </c>
      <c r="F64" s="1" t="s">
        <v>25</v>
      </c>
      <c r="G64" s="1" t="s">
        <v>25</v>
      </c>
      <c r="H64" s="1" t="s">
        <v>26</v>
      </c>
      <c r="I64" s="1" t="s">
        <v>26</v>
      </c>
      <c r="J64" s="1" t="s">
        <v>26</v>
      </c>
      <c r="K64" s="1" t="s">
        <v>26</v>
      </c>
      <c r="L64" s="1" t="s">
        <v>26</v>
      </c>
      <c r="M64" s="1" t="s">
        <v>25</v>
      </c>
      <c r="N64" s="1" t="s">
        <v>26</v>
      </c>
      <c r="O64" s="1" t="s">
        <v>25</v>
      </c>
      <c r="P64" s="1" t="s">
        <v>25</v>
      </c>
      <c r="Q64" s="1" t="s">
        <v>26</v>
      </c>
      <c r="R64" s="1">
        <v>1</v>
      </c>
      <c r="S64" s="1">
        <v>4</v>
      </c>
      <c r="T64" s="1">
        <v>1</v>
      </c>
      <c r="U64" s="1">
        <v>10</v>
      </c>
      <c r="V64" s="1">
        <v>2</v>
      </c>
      <c r="W64" s="1">
        <v>1</v>
      </c>
    </row>
    <row r="65" spans="1:24" ht="12.5" hidden="1" x14ac:dyDescent="0.25">
      <c r="A65" s="1">
        <v>23</v>
      </c>
      <c r="B65" s="1" t="s">
        <v>24</v>
      </c>
      <c r="C65" s="1" t="s">
        <v>26</v>
      </c>
      <c r="D65" s="1" t="s">
        <v>25</v>
      </c>
      <c r="E65" s="1" t="s">
        <v>26</v>
      </c>
      <c r="F65" s="1" t="s">
        <v>25</v>
      </c>
      <c r="G65" s="1" t="s">
        <v>25</v>
      </c>
      <c r="H65" s="1" t="s">
        <v>26</v>
      </c>
      <c r="I65" s="1" t="s">
        <v>26</v>
      </c>
      <c r="J65" s="1" t="s">
        <v>26</v>
      </c>
      <c r="K65" s="1" t="s">
        <v>25</v>
      </c>
      <c r="L65" s="1" t="s">
        <v>26</v>
      </c>
      <c r="M65" s="1" t="s">
        <v>25</v>
      </c>
      <c r="N65" s="1" t="s">
        <v>26</v>
      </c>
      <c r="O65" s="1" t="s">
        <v>25</v>
      </c>
      <c r="P65" s="1" t="s">
        <v>25</v>
      </c>
      <c r="Q65" s="1" t="s">
        <v>26</v>
      </c>
      <c r="R65" s="1">
        <v>8</v>
      </c>
      <c r="S65" s="1">
        <v>5</v>
      </c>
      <c r="T65" s="1">
        <v>4</v>
      </c>
      <c r="U65" s="1">
        <v>7</v>
      </c>
      <c r="V65" s="1">
        <v>9</v>
      </c>
      <c r="W65" s="1">
        <v>1</v>
      </c>
    </row>
    <row r="66" spans="1:24" ht="12.5" hidden="1" x14ac:dyDescent="0.25">
      <c r="A66" s="1">
        <v>23</v>
      </c>
      <c r="B66" s="1" t="s">
        <v>27</v>
      </c>
      <c r="C66" s="1" t="s">
        <v>25</v>
      </c>
      <c r="D66" s="1" t="s">
        <v>25</v>
      </c>
      <c r="E66" s="1" t="s">
        <v>25</v>
      </c>
      <c r="F66" s="1" t="s">
        <v>25</v>
      </c>
      <c r="G66" s="1" t="s">
        <v>25</v>
      </c>
      <c r="H66" s="1" t="s">
        <v>26</v>
      </c>
      <c r="I66" s="1" t="s">
        <v>26</v>
      </c>
      <c r="J66" s="1" t="s">
        <v>25</v>
      </c>
      <c r="K66" s="1" t="s">
        <v>26</v>
      </c>
      <c r="L66" s="1" t="s">
        <v>25</v>
      </c>
      <c r="M66" s="1" t="s">
        <v>26</v>
      </c>
      <c r="N66" s="1" t="s">
        <v>26</v>
      </c>
      <c r="O66" s="1" t="s">
        <v>25</v>
      </c>
      <c r="P66" s="1" t="s">
        <v>25</v>
      </c>
      <c r="Q66" s="1" t="s">
        <v>26</v>
      </c>
      <c r="R66" s="1">
        <v>5</v>
      </c>
      <c r="S66" s="1">
        <v>7</v>
      </c>
      <c r="T66" s="1">
        <v>3</v>
      </c>
      <c r="U66" s="1">
        <v>9</v>
      </c>
      <c r="V66" s="1">
        <v>7</v>
      </c>
      <c r="W66" s="1">
        <v>1</v>
      </c>
    </row>
    <row r="67" spans="1:24" ht="12.5" x14ac:dyDescent="0.25">
      <c r="A67" s="1">
        <v>23</v>
      </c>
      <c r="B67" s="1" t="s">
        <v>28</v>
      </c>
      <c r="C67" s="1" t="s">
        <v>26</v>
      </c>
      <c r="D67" s="1" t="s">
        <v>25</v>
      </c>
      <c r="E67" s="1" t="s">
        <v>25</v>
      </c>
      <c r="F67" s="1" t="s">
        <v>25</v>
      </c>
      <c r="G67" s="1" t="s">
        <v>25</v>
      </c>
      <c r="H67" s="1" t="s">
        <v>26</v>
      </c>
      <c r="I67" s="1" t="s">
        <v>25</v>
      </c>
      <c r="J67" s="1" t="s">
        <v>25</v>
      </c>
      <c r="K67" s="1" t="s">
        <v>26</v>
      </c>
      <c r="L67" s="1" t="s">
        <v>26</v>
      </c>
      <c r="M67" s="1" t="s">
        <v>26</v>
      </c>
      <c r="N67" s="1" t="s">
        <v>25</v>
      </c>
      <c r="O67" s="1" t="s">
        <v>25</v>
      </c>
      <c r="P67" s="1" t="s">
        <v>25</v>
      </c>
      <c r="Q67" s="1" t="s">
        <v>26</v>
      </c>
      <c r="R67" s="1">
        <v>3</v>
      </c>
      <c r="S67" s="1">
        <v>5</v>
      </c>
      <c r="T67" s="1">
        <v>6</v>
      </c>
      <c r="U67" s="1">
        <v>7</v>
      </c>
      <c r="V67" s="1">
        <v>5</v>
      </c>
      <c r="W67" s="1">
        <v>1</v>
      </c>
    </row>
    <row r="68" spans="1:24" ht="12.5" hidden="1" x14ac:dyDescent="0.25">
      <c r="A68" s="1">
        <v>24</v>
      </c>
      <c r="B68" s="1" t="s">
        <v>27</v>
      </c>
      <c r="C68" s="1" t="s">
        <v>26</v>
      </c>
      <c r="D68" s="1" t="s">
        <v>25</v>
      </c>
      <c r="E68" s="1" t="s">
        <v>25</v>
      </c>
      <c r="F68" s="1" t="s">
        <v>26</v>
      </c>
      <c r="G68" s="1" t="s">
        <v>25</v>
      </c>
      <c r="H68" s="1" t="s">
        <v>26</v>
      </c>
      <c r="I68" s="1" t="s">
        <v>26</v>
      </c>
      <c r="J68" s="1" t="s">
        <v>25</v>
      </c>
      <c r="K68" s="1" t="s">
        <v>26</v>
      </c>
      <c r="L68" s="1" t="s">
        <v>26</v>
      </c>
      <c r="M68" s="1" t="s">
        <v>25</v>
      </c>
      <c r="N68" s="1" t="s">
        <v>25</v>
      </c>
      <c r="O68" s="1" t="s">
        <v>25</v>
      </c>
      <c r="P68" s="1" t="s">
        <v>25</v>
      </c>
      <c r="Q68" s="1" t="s">
        <v>26</v>
      </c>
      <c r="R68" s="1">
        <v>6</v>
      </c>
      <c r="S68" s="1">
        <v>1</v>
      </c>
      <c r="T68" s="1">
        <v>4</v>
      </c>
      <c r="U68" s="1">
        <v>9</v>
      </c>
      <c r="V68" s="1">
        <v>4</v>
      </c>
      <c r="W68" s="1">
        <v>1</v>
      </c>
      <c r="X68" s="1" t="s">
        <v>31</v>
      </c>
    </row>
    <row r="69" spans="1:24" ht="12.5" x14ac:dyDescent="0.25">
      <c r="A69" s="1">
        <v>24</v>
      </c>
      <c r="B69" s="1" t="s">
        <v>28</v>
      </c>
      <c r="C69" s="1" t="s">
        <v>25</v>
      </c>
      <c r="D69" s="1" t="s">
        <v>25</v>
      </c>
      <c r="E69" s="1" t="s">
        <v>25</v>
      </c>
      <c r="F69" s="1" t="s">
        <v>25</v>
      </c>
      <c r="G69" s="1" t="s">
        <v>25</v>
      </c>
      <c r="H69" s="1" t="s">
        <v>26</v>
      </c>
      <c r="I69" s="1" t="s">
        <v>26</v>
      </c>
      <c r="J69" s="1" t="s">
        <v>26</v>
      </c>
      <c r="K69" s="1" t="s">
        <v>26</v>
      </c>
      <c r="L69" s="1" t="s">
        <v>26</v>
      </c>
      <c r="M69" s="1" t="s">
        <v>25</v>
      </c>
      <c r="N69" s="1" t="s">
        <v>25</v>
      </c>
      <c r="O69" s="1" t="s">
        <v>26</v>
      </c>
      <c r="P69" s="1" t="s">
        <v>25</v>
      </c>
      <c r="Q69" s="1" t="s">
        <v>26</v>
      </c>
      <c r="R69" s="1">
        <v>4</v>
      </c>
      <c r="S69" s="1">
        <v>1</v>
      </c>
      <c r="T69" s="1">
        <v>5</v>
      </c>
      <c r="U69" s="1">
        <v>10</v>
      </c>
      <c r="V69" s="1">
        <v>4</v>
      </c>
      <c r="W69" s="1">
        <v>1</v>
      </c>
      <c r="X69" s="1" t="s">
        <v>32</v>
      </c>
    </row>
    <row r="70" spans="1:24" ht="12.5" hidden="1" x14ac:dyDescent="0.25">
      <c r="A70" s="1">
        <v>24</v>
      </c>
      <c r="B70" s="1" t="s">
        <v>24</v>
      </c>
      <c r="C70" s="1" t="s">
        <v>26</v>
      </c>
      <c r="D70" s="1" t="s">
        <v>25</v>
      </c>
      <c r="E70" s="1" t="s">
        <v>26</v>
      </c>
      <c r="F70" s="1" t="s">
        <v>25</v>
      </c>
      <c r="G70" s="1" t="s">
        <v>25</v>
      </c>
      <c r="H70" s="1" t="s">
        <v>26</v>
      </c>
      <c r="I70" s="1" t="s">
        <v>26</v>
      </c>
      <c r="J70" s="1" t="s">
        <v>26</v>
      </c>
      <c r="K70" s="1" t="s">
        <v>26</v>
      </c>
      <c r="L70" s="1" t="s">
        <v>26</v>
      </c>
      <c r="M70" s="1" t="s">
        <v>25</v>
      </c>
      <c r="N70" s="1" t="s">
        <v>25</v>
      </c>
      <c r="O70" s="1" t="s">
        <v>25</v>
      </c>
      <c r="P70" s="1" t="s">
        <v>25</v>
      </c>
      <c r="Q70" s="1" t="s">
        <v>26</v>
      </c>
      <c r="R70" s="1">
        <v>3</v>
      </c>
      <c r="S70" s="1">
        <v>1</v>
      </c>
      <c r="T70" s="1">
        <v>4</v>
      </c>
      <c r="U70" s="1">
        <v>10</v>
      </c>
      <c r="V70" s="1">
        <v>4</v>
      </c>
      <c r="W70" s="1">
        <v>1</v>
      </c>
      <c r="X70" s="1" t="s">
        <v>32</v>
      </c>
    </row>
    <row r="71" spans="1:24" ht="12.5" hidden="1" x14ac:dyDescent="0.25">
      <c r="A71" s="1">
        <v>25</v>
      </c>
      <c r="B71" s="1" t="s">
        <v>24</v>
      </c>
      <c r="C71" s="1" t="s">
        <v>26</v>
      </c>
      <c r="D71" s="1" t="s">
        <v>25</v>
      </c>
      <c r="E71" s="1" t="s">
        <v>26</v>
      </c>
      <c r="F71" s="1" t="s">
        <v>25</v>
      </c>
      <c r="G71" s="1" t="s">
        <v>25</v>
      </c>
      <c r="H71" s="1" t="s">
        <v>26</v>
      </c>
      <c r="I71" s="1" t="s">
        <v>25</v>
      </c>
      <c r="J71" s="1" t="s">
        <v>26</v>
      </c>
      <c r="K71" s="1" t="s">
        <v>26</v>
      </c>
      <c r="L71" s="1" t="s">
        <v>26</v>
      </c>
      <c r="M71" s="1" t="s">
        <v>26</v>
      </c>
      <c r="N71" s="1" t="s">
        <v>25</v>
      </c>
      <c r="O71" s="1" t="s">
        <v>25</v>
      </c>
      <c r="P71" s="1" t="s">
        <v>25</v>
      </c>
      <c r="Q71" s="1" t="s">
        <v>26</v>
      </c>
      <c r="R71" s="1">
        <v>6</v>
      </c>
      <c r="S71" s="1">
        <v>3</v>
      </c>
      <c r="T71" s="1">
        <v>2</v>
      </c>
      <c r="U71" s="1">
        <v>8</v>
      </c>
      <c r="V71" s="1">
        <v>6</v>
      </c>
      <c r="W71" s="1">
        <v>2</v>
      </c>
    </row>
    <row r="72" spans="1:24" ht="12.5" hidden="1" x14ac:dyDescent="0.25">
      <c r="A72" s="1">
        <v>25</v>
      </c>
      <c r="B72" s="1" t="s">
        <v>27</v>
      </c>
      <c r="C72" s="1" t="s">
        <v>25</v>
      </c>
      <c r="D72" s="1" t="s">
        <v>25</v>
      </c>
      <c r="E72" s="1" t="s">
        <v>25</v>
      </c>
      <c r="F72" s="1" t="s">
        <v>25</v>
      </c>
      <c r="G72" s="1" t="s">
        <v>25</v>
      </c>
      <c r="H72" s="1" t="s">
        <v>25</v>
      </c>
      <c r="I72" s="1" t="s">
        <v>25</v>
      </c>
      <c r="J72" s="1" t="s">
        <v>26</v>
      </c>
      <c r="K72" s="1" t="s">
        <v>26</v>
      </c>
      <c r="L72" s="1" t="s">
        <v>26</v>
      </c>
      <c r="M72" s="1" t="s">
        <v>26</v>
      </c>
      <c r="N72" s="1" t="s">
        <v>25</v>
      </c>
      <c r="O72" s="1" t="s">
        <v>25</v>
      </c>
      <c r="P72" s="1" t="s">
        <v>25</v>
      </c>
      <c r="Q72" s="1" t="s">
        <v>26</v>
      </c>
      <c r="R72" s="1">
        <v>8</v>
      </c>
      <c r="S72" s="1">
        <v>2</v>
      </c>
      <c r="T72" s="1">
        <v>2</v>
      </c>
      <c r="U72" s="1">
        <v>9</v>
      </c>
      <c r="V72" s="1">
        <v>5</v>
      </c>
      <c r="W72" s="1">
        <v>2</v>
      </c>
    </row>
    <row r="73" spans="1:24" ht="12.5" x14ac:dyDescent="0.25">
      <c r="A73" s="1">
        <v>25</v>
      </c>
      <c r="B73" s="1" t="s">
        <v>28</v>
      </c>
      <c r="C73" s="1" t="s">
        <v>26</v>
      </c>
      <c r="D73" s="1" t="s">
        <v>25</v>
      </c>
      <c r="E73" s="1" t="s">
        <v>25</v>
      </c>
      <c r="F73" s="1" t="s">
        <v>25</v>
      </c>
      <c r="G73" s="1" t="s">
        <v>25</v>
      </c>
      <c r="H73" s="1" t="s">
        <v>26</v>
      </c>
      <c r="I73" s="1" t="s">
        <v>25</v>
      </c>
      <c r="J73" s="1" t="s">
        <v>25</v>
      </c>
      <c r="K73" s="1" t="s">
        <v>26</v>
      </c>
      <c r="L73" s="1" t="s">
        <v>26</v>
      </c>
      <c r="M73" s="1" t="s">
        <v>26</v>
      </c>
      <c r="N73" s="1" t="s">
        <v>25</v>
      </c>
      <c r="O73" s="1" t="s">
        <v>25</v>
      </c>
      <c r="P73" s="1" t="s">
        <v>25</v>
      </c>
      <c r="Q73" s="1" t="s">
        <v>26</v>
      </c>
      <c r="R73" s="1">
        <v>3</v>
      </c>
      <c r="S73" s="1">
        <v>1</v>
      </c>
      <c r="T73" s="1">
        <v>2</v>
      </c>
      <c r="U73" s="1">
        <v>9</v>
      </c>
      <c r="V73" s="1">
        <v>3</v>
      </c>
      <c r="W73" s="1">
        <v>2</v>
      </c>
    </row>
    <row r="74" spans="1:24" ht="12.5" hidden="1" x14ac:dyDescent="0.25">
      <c r="A74" s="1">
        <v>26</v>
      </c>
      <c r="B74" s="1" t="s">
        <v>27</v>
      </c>
      <c r="C74" s="1" t="s">
        <v>25</v>
      </c>
      <c r="D74" s="1" t="s">
        <v>25</v>
      </c>
      <c r="E74" s="1" t="s">
        <v>26</v>
      </c>
      <c r="F74" s="1" t="s">
        <v>26</v>
      </c>
      <c r="G74" s="1" t="s">
        <v>25</v>
      </c>
      <c r="H74" s="1" t="s">
        <v>26</v>
      </c>
      <c r="I74" s="1" t="s">
        <v>26</v>
      </c>
      <c r="J74" s="1" t="s">
        <v>25</v>
      </c>
      <c r="K74" s="1" t="s">
        <v>26</v>
      </c>
      <c r="L74" s="1" t="s">
        <v>26</v>
      </c>
      <c r="M74" s="1" t="s">
        <v>26</v>
      </c>
      <c r="N74" s="1" t="s">
        <v>25</v>
      </c>
      <c r="O74" s="1" t="s">
        <v>25</v>
      </c>
      <c r="P74" s="1" t="s">
        <v>25</v>
      </c>
      <c r="Q74" s="1" t="s">
        <v>25</v>
      </c>
      <c r="R74" s="1">
        <v>7</v>
      </c>
      <c r="S74" s="1">
        <v>1</v>
      </c>
      <c r="T74" s="1">
        <v>7</v>
      </c>
      <c r="U74" s="1">
        <v>8</v>
      </c>
      <c r="V74" s="1">
        <v>8</v>
      </c>
      <c r="W74" s="1">
        <v>7</v>
      </c>
    </row>
    <row r="75" spans="1:24" ht="12.5" x14ac:dyDescent="0.25">
      <c r="A75" s="1">
        <v>26</v>
      </c>
      <c r="B75" s="1" t="s">
        <v>28</v>
      </c>
      <c r="C75" s="1" t="s">
        <v>26</v>
      </c>
      <c r="D75" s="1" t="s">
        <v>26</v>
      </c>
      <c r="E75" s="1" t="s">
        <v>25</v>
      </c>
      <c r="F75" s="1" t="s">
        <v>26</v>
      </c>
      <c r="G75" s="1" t="s">
        <v>26</v>
      </c>
      <c r="H75" s="1" t="s">
        <v>26</v>
      </c>
      <c r="I75" s="1" t="s">
        <v>26</v>
      </c>
      <c r="J75" s="1" t="s">
        <v>25</v>
      </c>
      <c r="K75" s="1" t="s">
        <v>25</v>
      </c>
      <c r="L75" s="1" t="s">
        <v>26</v>
      </c>
      <c r="M75" s="1" t="s">
        <v>26</v>
      </c>
      <c r="N75" s="1" t="s">
        <v>25</v>
      </c>
      <c r="O75" s="1" t="s">
        <v>25</v>
      </c>
      <c r="P75" s="1" t="s">
        <v>25</v>
      </c>
      <c r="Q75" s="1" t="s">
        <v>25</v>
      </c>
      <c r="R75" s="1">
        <v>5</v>
      </c>
      <c r="S75" s="1">
        <v>1</v>
      </c>
      <c r="T75" s="1">
        <v>3</v>
      </c>
      <c r="U75" s="1">
        <v>7</v>
      </c>
      <c r="V75" s="1">
        <v>7</v>
      </c>
      <c r="W75" s="1">
        <v>8</v>
      </c>
      <c r="X75" s="1" t="s">
        <v>33</v>
      </c>
    </row>
    <row r="76" spans="1:24" ht="12.5" hidden="1" x14ac:dyDescent="0.25">
      <c r="A76" s="1">
        <v>26</v>
      </c>
      <c r="B76" s="1" t="s">
        <v>24</v>
      </c>
      <c r="C76" s="1" t="s">
        <v>26</v>
      </c>
      <c r="D76" s="1" t="s">
        <v>25</v>
      </c>
      <c r="E76" s="1" t="s">
        <v>25</v>
      </c>
      <c r="F76" s="1" t="s">
        <v>26</v>
      </c>
      <c r="G76" s="1" t="s">
        <v>26</v>
      </c>
      <c r="H76" s="1" t="s">
        <v>26</v>
      </c>
      <c r="I76" s="1" t="s">
        <v>26</v>
      </c>
      <c r="J76" s="1" t="s">
        <v>25</v>
      </c>
      <c r="K76" s="1" t="s">
        <v>25</v>
      </c>
      <c r="L76" s="1" t="s">
        <v>26</v>
      </c>
      <c r="M76" s="1" t="s">
        <v>26</v>
      </c>
      <c r="N76" s="1" t="s">
        <v>26</v>
      </c>
      <c r="O76" s="1" t="s">
        <v>25</v>
      </c>
      <c r="P76" s="1" t="s">
        <v>25</v>
      </c>
      <c r="Q76" s="1" t="s">
        <v>25</v>
      </c>
      <c r="R76" s="1">
        <v>6</v>
      </c>
      <c r="S76" s="1">
        <v>2</v>
      </c>
      <c r="T76" s="1">
        <v>3</v>
      </c>
      <c r="U76" s="1">
        <v>7</v>
      </c>
      <c r="V76" s="1">
        <v>6</v>
      </c>
      <c r="W76" s="1">
        <v>7</v>
      </c>
    </row>
    <row r="77" spans="1:24" ht="12.5" x14ac:dyDescent="0.25">
      <c r="A77" s="1">
        <v>27</v>
      </c>
      <c r="B77" s="1" t="s">
        <v>28</v>
      </c>
      <c r="C77" s="1" t="s">
        <v>25</v>
      </c>
      <c r="D77" s="1" t="s">
        <v>25</v>
      </c>
      <c r="E77" s="1" t="s">
        <v>26</v>
      </c>
      <c r="F77" s="1" t="s">
        <v>26</v>
      </c>
      <c r="G77" s="1" t="s">
        <v>25</v>
      </c>
      <c r="H77" s="1" t="s">
        <v>25</v>
      </c>
      <c r="I77" s="1" t="s">
        <v>25</v>
      </c>
      <c r="J77" s="1" t="s">
        <v>26</v>
      </c>
      <c r="K77" s="1" t="s">
        <v>26</v>
      </c>
      <c r="L77" s="1" t="s">
        <v>26</v>
      </c>
      <c r="M77" s="1" t="s">
        <v>26</v>
      </c>
      <c r="N77" s="1" t="s">
        <v>25</v>
      </c>
      <c r="O77" s="1" t="s">
        <v>25</v>
      </c>
      <c r="P77" s="1" t="s">
        <v>25</v>
      </c>
      <c r="Q77" s="1" t="s">
        <v>26</v>
      </c>
      <c r="R77" s="1">
        <v>7</v>
      </c>
      <c r="S77" s="1">
        <v>8</v>
      </c>
      <c r="T77" s="1">
        <v>8</v>
      </c>
      <c r="U77" s="1">
        <v>6</v>
      </c>
      <c r="V77" s="1">
        <v>5</v>
      </c>
      <c r="W77" s="1">
        <v>7</v>
      </c>
      <c r="X77" s="1" t="s">
        <v>34</v>
      </c>
    </row>
    <row r="78" spans="1:24" ht="12.5" hidden="1" x14ac:dyDescent="0.25">
      <c r="A78" s="1">
        <v>27</v>
      </c>
      <c r="B78" s="1" t="s">
        <v>24</v>
      </c>
      <c r="C78" s="1" t="s">
        <v>25</v>
      </c>
      <c r="D78" s="1" t="s">
        <v>25</v>
      </c>
      <c r="E78" s="1" t="s">
        <v>26</v>
      </c>
      <c r="F78" s="1" t="s">
        <v>25</v>
      </c>
      <c r="G78" s="1" t="s">
        <v>25</v>
      </c>
      <c r="H78" s="1" t="s">
        <v>25</v>
      </c>
      <c r="I78" s="1" t="s">
        <v>25</v>
      </c>
      <c r="J78" s="1" t="s">
        <v>26</v>
      </c>
      <c r="K78" s="1" t="s">
        <v>26</v>
      </c>
      <c r="L78" s="1" t="s">
        <v>26</v>
      </c>
      <c r="M78" s="1" t="s">
        <v>25</v>
      </c>
      <c r="N78" s="1" t="s">
        <v>25</v>
      </c>
      <c r="O78" s="1" t="s">
        <v>25</v>
      </c>
      <c r="P78" s="1" t="s">
        <v>26</v>
      </c>
      <c r="Q78" s="1" t="s">
        <v>26</v>
      </c>
      <c r="R78" s="1">
        <v>7</v>
      </c>
      <c r="S78" s="1">
        <v>8</v>
      </c>
      <c r="T78" s="1">
        <v>6</v>
      </c>
      <c r="U78" s="1">
        <v>7</v>
      </c>
      <c r="V78" s="1">
        <v>7</v>
      </c>
      <c r="W78" s="1">
        <v>8</v>
      </c>
    </row>
    <row r="79" spans="1:24" ht="12.5" hidden="1" x14ac:dyDescent="0.25">
      <c r="A79" s="1">
        <v>27</v>
      </c>
      <c r="B79" s="1" t="s">
        <v>27</v>
      </c>
      <c r="C79" s="1" t="s">
        <v>25</v>
      </c>
      <c r="D79" s="1" t="s">
        <v>25</v>
      </c>
      <c r="E79" s="1" t="s">
        <v>26</v>
      </c>
      <c r="F79" s="1" t="s">
        <v>25</v>
      </c>
      <c r="G79" s="1" t="s">
        <v>25</v>
      </c>
      <c r="H79" s="1" t="s">
        <v>25</v>
      </c>
      <c r="I79" s="1" t="s">
        <v>26</v>
      </c>
      <c r="J79" s="1" t="s">
        <v>26</v>
      </c>
      <c r="K79" s="1" t="s">
        <v>26</v>
      </c>
      <c r="L79" s="1" t="s">
        <v>26</v>
      </c>
      <c r="M79" s="1" t="s">
        <v>25</v>
      </c>
      <c r="N79" s="1" t="s">
        <v>25</v>
      </c>
      <c r="O79" s="1" t="s">
        <v>25</v>
      </c>
      <c r="P79" s="1" t="s">
        <v>25</v>
      </c>
      <c r="Q79" s="1" t="s">
        <v>26</v>
      </c>
      <c r="R79" s="1">
        <v>9</v>
      </c>
      <c r="S79" s="1">
        <v>7</v>
      </c>
      <c r="T79" s="1">
        <v>6</v>
      </c>
      <c r="U79" s="1">
        <v>7</v>
      </c>
      <c r="V79" s="1">
        <v>9</v>
      </c>
      <c r="W79" s="1">
        <v>9</v>
      </c>
    </row>
    <row r="80" spans="1:24" ht="12.5" hidden="1" x14ac:dyDescent="0.25">
      <c r="A80" s="1">
        <v>22</v>
      </c>
      <c r="B80" s="1" t="s">
        <v>24</v>
      </c>
      <c r="C80" s="1" t="s">
        <v>26</v>
      </c>
      <c r="D80" s="1" t="s">
        <v>25</v>
      </c>
      <c r="E80" s="1" t="s">
        <v>26</v>
      </c>
      <c r="F80" s="1" t="s">
        <v>25</v>
      </c>
      <c r="G80" s="1" t="s">
        <v>25</v>
      </c>
      <c r="H80" s="1" t="s">
        <v>26</v>
      </c>
      <c r="I80" s="1" t="s">
        <v>26</v>
      </c>
      <c r="J80" s="1" t="s">
        <v>26</v>
      </c>
      <c r="K80" s="1" t="s">
        <v>26</v>
      </c>
      <c r="L80" s="1" t="s">
        <v>25</v>
      </c>
      <c r="M80" s="1" t="s">
        <v>25</v>
      </c>
      <c r="N80" s="1" t="s">
        <v>26</v>
      </c>
      <c r="O80" s="1" t="s">
        <v>25</v>
      </c>
      <c r="P80" s="1" t="s">
        <v>25</v>
      </c>
      <c r="Q80" s="1" t="s">
        <v>26</v>
      </c>
      <c r="R80" s="1">
        <v>4</v>
      </c>
      <c r="S80" s="1">
        <v>1</v>
      </c>
      <c r="T80" s="1">
        <v>2</v>
      </c>
      <c r="U80" s="1">
        <v>7</v>
      </c>
      <c r="V80" s="1">
        <v>3</v>
      </c>
      <c r="W80" s="1">
        <v>1</v>
      </c>
    </row>
    <row r="81" spans="1:23" ht="12.5" hidden="1" x14ac:dyDescent="0.25">
      <c r="A81" s="1">
        <v>22</v>
      </c>
      <c r="B81" s="1" t="s">
        <v>27</v>
      </c>
      <c r="C81" s="1" t="s">
        <v>26</v>
      </c>
      <c r="D81" s="1" t="s">
        <v>25</v>
      </c>
      <c r="E81" s="1" t="s">
        <v>26</v>
      </c>
      <c r="F81" s="1" t="s">
        <v>25</v>
      </c>
      <c r="G81" s="1" t="s">
        <v>25</v>
      </c>
      <c r="H81" s="1" t="s">
        <v>26</v>
      </c>
      <c r="I81" s="1" t="s">
        <v>26</v>
      </c>
      <c r="J81" s="1" t="s">
        <v>26</v>
      </c>
      <c r="K81" s="1" t="s">
        <v>26</v>
      </c>
      <c r="L81" s="1" t="s">
        <v>25</v>
      </c>
      <c r="M81" s="1" t="s">
        <v>25</v>
      </c>
      <c r="N81" s="1" t="s">
        <v>25</v>
      </c>
      <c r="O81" s="1" t="s">
        <v>25</v>
      </c>
      <c r="P81" s="1" t="s">
        <v>25</v>
      </c>
      <c r="Q81" s="1" t="s">
        <v>26</v>
      </c>
      <c r="R81" s="1">
        <v>2</v>
      </c>
      <c r="S81" s="1">
        <v>1</v>
      </c>
      <c r="T81" s="1">
        <v>5</v>
      </c>
      <c r="U81" s="1">
        <v>8</v>
      </c>
      <c r="V81" s="1">
        <v>5</v>
      </c>
      <c r="W81" s="1">
        <v>1</v>
      </c>
    </row>
    <row r="82" spans="1:23" ht="12.5" hidden="1" x14ac:dyDescent="0.25">
      <c r="A82" s="1">
        <v>28</v>
      </c>
      <c r="B82" s="1" t="s">
        <v>24</v>
      </c>
      <c r="C82" s="1" t="s">
        <v>26</v>
      </c>
      <c r="D82" s="1" t="s">
        <v>26</v>
      </c>
      <c r="E82" s="1" t="s">
        <v>25</v>
      </c>
      <c r="F82" s="1" t="s">
        <v>26</v>
      </c>
      <c r="G82" s="1" t="s">
        <v>25</v>
      </c>
      <c r="H82" s="1" t="s">
        <v>26</v>
      </c>
      <c r="I82" s="1" t="s">
        <v>26</v>
      </c>
      <c r="J82" s="1" t="s">
        <v>26</v>
      </c>
      <c r="K82" s="1" t="s">
        <v>25</v>
      </c>
      <c r="L82" s="1" t="s">
        <v>25</v>
      </c>
      <c r="M82" s="1" t="s">
        <v>25</v>
      </c>
      <c r="N82" s="1" t="s">
        <v>25</v>
      </c>
      <c r="O82" s="1" t="s">
        <v>25</v>
      </c>
      <c r="P82" s="1" t="s">
        <v>25</v>
      </c>
      <c r="Q82" s="1" t="s">
        <v>26</v>
      </c>
      <c r="R82" s="1">
        <v>2</v>
      </c>
      <c r="S82" s="1">
        <v>1</v>
      </c>
      <c r="T82" s="1">
        <v>4</v>
      </c>
      <c r="U82" s="1">
        <v>8</v>
      </c>
      <c r="V82" s="1">
        <v>4</v>
      </c>
      <c r="W82" s="1">
        <v>5</v>
      </c>
    </row>
    <row r="83" spans="1:23" ht="12.5" hidden="1" x14ac:dyDescent="0.25">
      <c r="A83" s="1">
        <v>28</v>
      </c>
      <c r="B83" s="1" t="s">
        <v>27</v>
      </c>
      <c r="C83" s="1" t="s">
        <v>26</v>
      </c>
      <c r="D83" s="1" t="s">
        <v>25</v>
      </c>
      <c r="E83" s="1" t="s">
        <v>26</v>
      </c>
      <c r="F83" s="1" t="s">
        <v>26</v>
      </c>
      <c r="G83" s="1" t="s">
        <v>25</v>
      </c>
      <c r="H83" s="1" t="s">
        <v>26</v>
      </c>
      <c r="I83" s="1" t="s">
        <v>26</v>
      </c>
      <c r="J83" s="1" t="s">
        <v>25</v>
      </c>
      <c r="K83" s="1" t="s">
        <v>25</v>
      </c>
      <c r="L83" s="1" t="s">
        <v>25</v>
      </c>
      <c r="M83" s="1" t="s">
        <v>25</v>
      </c>
      <c r="N83" s="1" t="s">
        <v>25</v>
      </c>
      <c r="O83" s="1" t="s">
        <v>25</v>
      </c>
      <c r="P83" s="1" t="s">
        <v>25</v>
      </c>
      <c r="Q83" s="1" t="s">
        <v>26</v>
      </c>
      <c r="R83" s="1">
        <v>4</v>
      </c>
      <c r="S83" s="1">
        <v>1</v>
      </c>
      <c r="T83" s="1">
        <v>5</v>
      </c>
      <c r="U83" s="1">
        <v>8</v>
      </c>
      <c r="V83" s="1">
        <v>3</v>
      </c>
      <c r="W83" s="1">
        <v>4</v>
      </c>
    </row>
    <row r="84" spans="1:23" ht="12.5" x14ac:dyDescent="0.25">
      <c r="A84" s="1">
        <v>28</v>
      </c>
      <c r="B84" s="1" t="s">
        <v>28</v>
      </c>
      <c r="C84" s="1" t="s">
        <v>26</v>
      </c>
      <c r="D84" s="1" t="s">
        <v>25</v>
      </c>
      <c r="E84" s="1" t="s">
        <v>25</v>
      </c>
      <c r="F84" s="1" t="s">
        <v>26</v>
      </c>
      <c r="G84" s="1" t="s">
        <v>26</v>
      </c>
      <c r="H84" s="1" t="s">
        <v>26</v>
      </c>
      <c r="I84" s="1" t="s">
        <v>26</v>
      </c>
      <c r="J84" s="1" t="s">
        <v>26</v>
      </c>
      <c r="K84" s="1" t="s">
        <v>26</v>
      </c>
      <c r="L84" s="1" t="s">
        <v>25</v>
      </c>
      <c r="M84" s="1" t="s">
        <v>26</v>
      </c>
      <c r="N84" s="1" t="s">
        <v>25</v>
      </c>
      <c r="O84" s="1" t="s">
        <v>25</v>
      </c>
      <c r="P84" s="1" t="s">
        <v>25</v>
      </c>
      <c r="Q84" s="1" t="s">
        <v>26</v>
      </c>
      <c r="R84" s="1">
        <v>3</v>
      </c>
      <c r="S84" s="1">
        <v>3</v>
      </c>
      <c r="T84" s="1">
        <v>1</v>
      </c>
      <c r="U84" s="1">
        <v>3</v>
      </c>
      <c r="V84" s="1">
        <v>3</v>
      </c>
      <c r="W84" s="1">
        <v>3</v>
      </c>
    </row>
    <row r="85" spans="1:23" ht="12.5" hidden="1" x14ac:dyDescent="0.25">
      <c r="A85" s="1">
        <v>29</v>
      </c>
      <c r="B85" s="1" t="s">
        <v>24</v>
      </c>
      <c r="C85" s="1" t="s">
        <v>26</v>
      </c>
      <c r="D85" s="1" t="s">
        <v>25</v>
      </c>
      <c r="E85" s="1" t="s">
        <v>25</v>
      </c>
      <c r="F85" s="1" t="s">
        <v>26</v>
      </c>
      <c r="G85" s="1" t="s">
        <v>25</v>
      </c>
      <c r="H85" s="1" t="s">
        <v>26</v>
      </c>
      <c r="I85" s="1" t="s">
        <v>26</v>
      </c>
      <c r="J85" s="1" t="s">
        <v>25</v>
      </c>
      <c r="K85" s="1" t="s">
        <v>26</v>
      </c>
      <c r="L85" s="1" t="s">
        <v>25</v>
      </c>
      <c r="M85" s="1" t="s">
        <v>26</v>
      </c>
      <c r="N85" s="1" t="s">
        <v>25</v>
      </c>
      <c r="O85" s="1" t="s">
        <v>25</v>
      </c>
      <c r="P85" s="1" t="s">
        <v>25</v>
      </c>
      <c r="Q85" s="1" t="s">
        <v>26</v>
      </c>
      <c r="R85" s="1">
        <v>9</v>
      </c>
      <c r="S85" s="1">
        <v>1</v>
      </c>
      <c r="T85" s="1">
        <v>3</v>
      </c>
      <c r="U85" s="1">
        <v>7</v>
      </c>
      <c r="V85" s="1">
        <v>3</v>
      </c>
      <c r="W85" s="1">
        <v>1</v>
      </c>
    </row>
    <row r="86" spans="1:23" ht="12.5" hidden="1" x14ac:dyDescent="0.25">
      <c r="A86" s="1">
        <v>29</v>
      </c>
      <c r="B86" s="1" t="s">
        <v>27</v>
      </c>
      <c r="C86" s="1" t="s">
        <v>26</v>
      </c>
      <c r="D86" s="1" t="s">
        <v>25</v>
      </c>
      <c r="E86" s="1" t="s">
        <v>26</v>
      </c>
      <c r="F86" s="1" t="s">
        <v>26</v>
      </c>
      <c r="G86" s="1" t="s">
        <v>25</v>
      </c>
      <c r="H86" s="1" t="s">
        <v>26</v>
      </c>
      <c r="I86" s="1" t="s">
        <v>26</v>
      </c>
      <c r="J86" s="1" t="s">
        <v>26</v>
      </c>
      <c r="K86" s="1" t="s">
        <v>25</v>
      </c>
      <c r="L86" s="1" t="s">
        <v>26</v>
      </c>
      <c r="M86" s="1" t="s">
        <v>25</v>
      </c>
      <c r="N86" s="1" t="s">
        <v>26</v>
      </c>
      <c r="O86" s="1" t="s">
        <v>25</v>
      </c>
      <c r="P86" s="1" t="s">
        <v>25</v>
      </c>
      <c r="Q86" s="1" t="s">
        <v>26</v>
      </c>
      <c r="R86" s="1">
        <v>9</v>
      </c>
      <c r="S86" s="1">
        <v>1</v>
      </c>
      <c r="T86" s="1">
        <v>3</v>
      </c>
      <c r="U86" s="1">
        <v>9</v>
      </c>
      <c r="V86" s="1">
        <v>7</v>
      </c>
      <c r="W86" s="1">
        <v>1</v>
      </c>
    </row>
    <row r="87" spans="1:23" ht="12.5" x14ac:dyDescent="0.25">
      <c r="A87" s="1">
        <v>29</v>
      </c>
      <c r="B87" s="1" t="s">
        <v>28</v>
      </c>
      <c r="C87" s="1" t="s">
        <v>26</v>
      </c>
      <c r="D87" s="1" t="s">
        <v>25</v>
      </c>
      <c r="E87" s="1" t="s">
        <v>26</v>
      </c>
      <c r="F87" s="1" t="s">
        <v>26</v>
      </c>
      <c r="G87" s="1" t="s">
        <v>25</v>
      </c>
      <c r="H87" s="1" t="s">
        <v>26</v>
      </c>
      <c r="I87" s="1" t="s">
        <v>26</v>
      </c>
      <c r="J87" s="1" t="s">
        <v>26</v>
      </c>
      <c r="K87" s="1" t="s">
        <v>26</v>
      </c>
      <c r="L87" s="1" t="s">
        <v>26</v>
      </c>
      <c r="M87" s="1" t="s">
        <v>25</v>
      </c>
      <c r="N87" s="1" t="s">
        <v>26</v>
      </c>
      <c r="O87" s="1" t="s">
        <v>25</v>
      </c>
      <c r="P87" s="1" t="s">
        <v>25</v>
      </c>
      <c r="Q87" s="1" t="s">
        <v>26</v>
      </c>
      <c r="R87" s="1">
        <v>6</v>
      </c>
      <c r="S87" s="1">
        <v>1</v>
      </c>
      <c r="T87" s="1">
        <v>3</v>
      </c>
      <c r="U87" s="1">
        <v>8</v>
      </c>
      <c r="V87" s="1">
        <v>4</v>
      </c>
      <c r="W87" s="1">
        <v>1</v>
      </c>
    </row>
  </sheetData>
  <autoFilter ref="A1:X87" xr:uid="{00000000-0001-0000-0000-000000000000}">
    <filterColumn colId="1">
      <filters>
        <filter val="Motor Observation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E6B61-C82D-4CD1-8AB9-800EB79C55E7}">
  <dimension ref="A1:BC93"/>
  <sheetViews>
    <sheetView tabSelected="1" topLeftCell="K31" zoomScale="41" workbookViewId="0">
      <selection activeCell="BE57" sqref="BE57"/>
    </sheetView>
  </sheetViews>
  <sheetFormatPr defaultRowHeight="12.5" x14ac:dyDescent="0.25"/>
  <cols>
    <col min="37" max="37" width="9.453125" bestFit="1" customWidth="1"/>
  </cols>
  <sheetData>
    <row r="1" spans="1:55" ht="14.5" x14ac:dyDescent="0.35">
      <c r="A1" s="11" t="s">
        <v>0</v>
      </c>
      <c r="B1" s="11" t="s">
        <v>59</v>
      </c>
      <c r="C1" s="15" t="s">
        <v>60</v>
      </c>
      <c r="D1" s="16"/>
      <c r="E1" s="16"/>
      <c r="F1" s="16"/>
      <c r="G1" s="16"/>
      <c r="H1" s="16"/>
      <c r="I1" s="17" t="s">
        <v>61</v>
      </c>
      <c r="J1" s="16"/>
      <c r="K1" s="16"/>
      <c r="L1" s="16"/>
      <c r="M1" s="16"/>
      <c r="N1" s="16"/>
      <c r="O1" s="17" t="s">
        <v>62</v>
      </c>
      <c r="P1" s="16"/>
      <c r="Q1" s="16"/>
      <c r="R1" s="16"/>
      <c r="S1" s="16"/>
      <c r="T1" s="16"/>
      <c r="U1" s="13" t="s">
        <v>63</v>
      </c>
      <c r="V1" s="12"/>
      <c r="W1" s="12"/>
      <c r="X1" s="12"/>
      <c r="Y1" s="12"/>
      <c r="Z1" s="12"/>
      <c r="AA1" s="11" t="s">
        <v>64</v>
      </c>
      <c r="AB1" s="13" t="s">
        <v>65</v>
      </c>
      <c r="AC1" s="3"/>
    </row>
    <row r="2" spans="1:55" ht="14.5" x14ac:dyDescent="0.25">
      <c r="A2" s="12"/>
      <c r="B2" s="12"/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O2" t="s">
        <v>52</v>
      </c>
      <c r="P2" t="s">
        <v>53</v>
      </c>
      <c r="Q2" t="s">
        <v>54</v>
      </c>
      <c r="R2" t="s">
        <v>55</v>
      </c>
      <c r="S2" t="s">
        <v>56</v>
      </c>
      <c r="T2" t="s">
        <v>57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s="12"/>
      <c r="AB2" s="12"/>
      <c r="AC2" s="3"/>
    </row>
    <row r="3" spans="1:55" ht="14.5" x14ac:dyDescent="0.25">
      <c r="A3" s="4"/>
      <c r="B3" s="5" t="s">
        <v>73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6"/>
      <c r="P3" s="7"/>
      <c r="Q3" s="6"/>
      <c r="R3" s="7"/>
      <c r="S3" s="6"/>
      <c r="T3" s="7"/>
      <c r="U3" s="5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</row>
    <row r="4" spans="1:55" x14ac:dyDescent="0.25">
      <c r="A4" s="1">
        <v>1</v>
      </c>
      <c r="B4" s="1" t="s">
        <v>24</v>
      </c>
      <c r="C4" s="1">
        <v>7</v>
      </c>
      <c r="D4" s="1">
        <v>10</v>
      </c>
      <c r="E4" s="1">
        <v>4</v>
      </c>
      <c r="F4" s="1">
        <v>4</v>
      </c>
      <c r="G4" s="1">
        <v>10</v>
      </c>
      <c r="H4" s="1">
        <v>7</v>
      </c>
      <c r="I4">
        <f t="shared" ref="I4:I32" si="0">(C4*100)/10</f>
        <v>70</v>
      </c>
      <c r="J4">
        <f t="shared" ref="J4:N19" si="1">(D4*100)/10</f>
        <v>100</v>
      </c>
      <c r="K4">
        <f t="shared" si="1"/>
        <v>40</v>
      </c>
      <c r="L4">
        <f t="shared" si="1"/>
        <v>40</v>
      </c>
      <c r="M4">
        <f t="shared" si="1"/>
        <v>100</v>
      </c>
      <c r="N4">
        <f t="shared" si="1"/>
        <v>70</v>
      </c>
      <c r="O4">
        <v>2</v>
      </c>
      <c r="P4">
        <v>5</v>
      </c>
      <c r="Q4">
        <v>4</v>
      </c>
      <c r="R4">
        <v>0</v>
      </c>
      <c r="S4">
        <v>3</v>
      </c>
      <c r="T4">
        <v>1</v>
      </c>
      <c r="U4">
        <f>I4*O4</f>
        <v>140</v>
      </c>
      <c r="V4">
        <f>J4*P4</f>
        <v>500</v>
      </c>
      <c r="W4">
        <f t="shared" ref="W4:Z19" si="2">K4*Q4</f>
        <v>160</v>
      </c>
      <c r="X4">
        <f t="shared" si="2"/>
        <v>0</v>
      </c>
      <c r="Y4">
        <f t="shared" si="2"/>
        <v>300</v>
      </c>
      <c r="Z4">
        <f t="shared" si="2"/>
        <v>70</v>
      </c>
      <c r="AA4">
        <f t="shared" ref="AA4:AA32" si="3">SUM(U4:Z4)</f>
        <v>1170</v>
      </c>
      <c r="AB4">
        <f>AA4/15</f>
        <v>78</v>
      </c>
      <c r="AC4">
        <f>AVERAGE(C4:H4)</f>
        <v>7</v>
      </c>
      <c r="AE4" s="14" t="s">
        <v>76</v>
      </c>
      <c r="AF4" s="14"/>
      <c r="AG4" s="14"/>
      <c r="AH4" s="14"/>
      <c r="AI4" s="14"/>
      <c r="AJ4" s="14"/>
      <c r="AK4" s="14"/>
    </row>
    <row r="5" spans="1:55" x14ac:dyDescent="0.25">
      <c r="A5" s="1">
        <v>2</v>
      </c>
      <c r="B5" s="1" t="s">
        <v>24</v>
      </c>
      <c r="C5" s="1">
        <v>1</v>
      </c>
      <c r="D5" s="1">
        <v>1</v>
      </c>
      <c r="E5" s="1">
        <v>1</v>
      </c>
      <c r="F5" s="1">
        <v>10</v>
      </c>
      <c r="G5" s="1">
        <v>1</v>
      </c>
      <c r="H5" s="1">
        <v>1</v>
      </c>
      <c r="I5">
        <f t="shared" si="0"/>
        <v>10</v>
      </c>
      <c r="J5">
        <f t="shared" si="1"/>
        <v>10</v>
      </c>
      <c r="K5">
        <f t="shared" si="1"/>
        <v>10</v>
      </c>
      <c r="L5">
        <f t="shared" si="1"/>
        <v>100</v>
      </c>
      <c r="M5">
        <f t="shared" si="1"/>
        <v>10</v>
      </c>
      <c r="N5">
        <f t="shared" si="1"/>
        <v>10</v>
      </c>
      <c r="O5">
        <v>1</v>
      </c>
      <c r="P5">
        <v>5</v>
      </c>
      <c r="Q5">
        <v>3</v>
      </c>
      <c r="R5">
        <v>3</v>
      </c>
      <c r="S5">
        <v>3</v>
      </c>
      <c r="T5">
        <v>0</v>
      </c>
      <c r="U5">
        <f t="shared" ref="U5:U32" si="4">I5*O5</f>
        <v>10</v>
      </c>
      <c r="V5">
        <f t="shared" ref="V5:V15" si="5">J5*P5</f>
        <v>50</v>
      </c>
      <c r="W5">
        <f t="shared" si="2"/>
        <v>30</v>
      </c>
      <c r="X5">
        <f t="shared" si="2"/>
        <v>300</v>
      </c>
      <c r="Y5">
        <f t="shared" si="2"/>
        <v>30</v>
      </c>
      <c r="Z5">
        <f t="shared" si="2"/>
        <v>0</v>
      </c>
      <c r="AA5">
        <f t="shared" si="3"/>
        <v>420</v>
      </c>
      <c r="AB5">
        <f t="shared" ref="AB5:AB32" si="6">AA5/15</f>
        <v>28</v>
      </c>
      <c r="AC5">
        <f t="shared" ref="AC5:AC32" si="7">AVERAGE(C5:H5)</f>
        <v>2.5</v>
      </c>
      <c r="AD5" s="9" t="s">
        <v>36</v>
      </c>
      <c r="AE5" t="s">
        <v>52</v>
      </c>
      <c r="AF5" t="s">
        <v>53</v>
      </c>
      <c r="AG5" t="s">
        <v>54</v>
      </c>
      <c r="AH5" t="s">
        <v>55</v>
      </c>
      <c r="AI5" t="s">
        <v>56</v>
      </c>
      <c r="AJ5" t="s">
        <v>57</v>
      </c>
      <c r="AK5" t="s">
        <v>72</v>
      </c>
    </row>
    <row r="6" spans="1:55" x14ac:dyDescent="0.25">
      <c r="A6" s="1">
        <v>3</v>
      </c>
      <c r="B6" s="1" t="s">
        <v>24</v>
      </c>
      <c r="C6" s="1">
        <v>5</v>
      </c>
      <c r="D6" s="1">
        <v>4</v>
      </c>
      <c r="E6" s="1">
        <v>6</v>
      </c>
      <c r="F6" s="1">
        <v>6</v>
      </c>
      <c r="G6" s="1">
        <v>6</v>
      </c>
      <c r="H6" s="1">
        <v>4</v>
      </c>
      <c r="I6">
        <f t="shared" si="0"/>
        <v>50</v>
      </c>
      <c r="J6">
        <f t="shared" si="1"/>
        <v>40</v>
      </c>
      <c r="K6">
        <f t="shared" si="1"/>
        <v>60</v>
      </c>
      <c r="L6">
        <f t="shared" si="1"/>
        <v>60</v>
      </c>
      <c r="M6">
        <f t="shared" si="1"/>
        <v>60</v>
      </c>
      <c r="N6">
        <f t="shared" si="1"/>
        <v>40</v>
      </c>
      <c r="O6">
        <v>4</v>
      </c>
      <c r="P6">
        <v>0</v>
      </c>
      <c r="Q6">
        <v>4</v>
      </c>
      <c r="R6">
        <v>4</v>
      </c>
      <c r="S6">
        <v>2</v>
      </c>
      <c r="T6">
        <v>1</v>
      </c>
      <c r="U6">
        <f t="shared" si="4"/>
        <v>200</v>
      </c>
      <c r="V6">
        <f t="shared" si="5"/>
        <v>0</v>
      </c>
      <c r="W6">
        <f t="shared" si="2"/>
        <v>240</v>
      </c>
      <c r="X6">
        <f t="shared" si="2"/>
        <v>240</v>
      </c>
      <c r="Y6">
        <f t="shared" si="2"/>
        <v>120</v>
      </c>
      <c r="Z6">
        <f t="shared" si="2"/>
        <v>40</v>
      </c>
      <c r="AA6">
        <f t="shared" si="3"/>
        <v>840</v>
      </c>
      <c r="AB6">
        <f t="shared" si="6"/>
        <v>56</v>
      </c>
      <c r="AC6">
        <f t="shared" si="7"/>
        <v>5.166666666666667</v>
      </c>
      <c r="AD6" s="9" t="s">
        <v>73</v>
      </c>
      <c r="AE6">
        <f t="shared" ref="AE6:AJ6" si="8">MEDIAN(I4:I32)</f>
        <v>50</v>
      </c>
      <c r="AF6">
        <f t="shared" si="8"/>
        <v>20</v>
      </c>
      <c r="AG6">
        <f t="shared" si="8"/>
        <v>40</v>
      </c>
      <c r="AH6">
        <f t="shared" si="8"/>
        <v>70</v>
      </c>
      <c r="AI6">
        <f t="shared" si="8"/>
        <v>50</v>
      </c>
      <c r="AJ6">
        <f t="shared" si="8"/>
        <v>20</v>
      </c>
      <c r="AK6">
        <f>MEDIAN(AB4:AB32)</f>
        <v>51.333333333333336</v>
      </c>
    </row>
    <row r="7" spans="1:55" x14ac:dyDescent="0.25">
      <c r="A7" s="1">
        <v>4</v>
      </c>
      <c r="B7" s="1" t="s">
        <v>24</v>
      </c>
      <c r="C7" s="1">
        <v>5</v>
      </c>
      <c r="D7" s="1">
        <v>2</v>
      </c>
      <c r="E7" s="1">
        <v>4</v>
      </c>
      <c r="F7" s="1">
        <v>8</v>
      </c>
      <c r="G7" s="1">
        <v>8</v>
      </c>
      <c r="H7" s="1">
        <v>2</v>
      </c>
      <c r="I7">
        <f t="shared" si="0"/>
        <v>50</v>
      </c>
      <c r="J7">
        <f t="shared" si="1"/>
        <v>20</v>
      </c>
      <c r="K7">
        <f t="shared" si="1"/>
        <v>40</v>
      </c>
      <c r="L7">
        <f t="shared" si="1"/>
        <v>80</v>
      </c>
      <c r="M7">
        <f t="shared" si="1"/>
        <v>80</v>
      </c>
      <c r="N7">
        <f t="shared" si="1"/>
        <v>20</v>
      </c>
      <c r="O7">
        <v>5</v>
      </c>
      <c r="P7">
        <v>1</v>
      </c>
      <c r="Q7">
        <v>3</v>
      </c>
      <c r="R7">
        <v>4</v>
      </c>
      <c r="S7">
        <v>2</v>
      </c>
      <c r="T7">
        <v>0</v>
      </c>
      <c r="U7">
        <f t="shared" si="4"/>
        <v>250</v>
      </c>
      <c r="V7">
        <f t="shared" si="5"/>
        <v>20</v>
      </c>
      <c r="W7">
        <f t="shared" si="2"/>
        <v>120</v>
      </c>
      <c r="X7">
        <f t="shared" si="2"/>
        <v>320</v>
      </c>
      <c r="Y7">
        <f t="shared" si="2"/>
        <v>160</v>
      </c>
      <c r="Z7">
        <f t="shared" si="2"/>
        <v>0</v>
      </c>
      <c r="AA7">
        <f t="shared" si="3"/>
        <v>870</v>
      </c>
      <c r="AB7">
        <f t="shared" si="6"/>
        <v>58</v>
      </c>
      <c r="AC7">
        <f t="shared" si="7"/>
        <v>4.833333333333333</v>
      </c>
      <c r="AD7" s="9" t="s">
        <v>74</v>
      </c>
      <c r="AE7">
        <f>MEDIAN(I35:I63)</f>
        <v>70</v>
      </c>
      <c r="AF7">
        <f t="shared" ref="AF7:AI7" si="9">MEDIAN(J35:J63)</f>
        <v>30</v>
      </c>
      <c r="AG7">
        <f t="shared" si="9"/>
        <v>50</v>
      </c>
      <c r="AH7">
        <f t="shared" si="9"/>
        <v>80</v>
      </c>
      <c r="AI7">
        <f t="shared" si="9"/>
        <v>60</v>
      </c>
      <c r="AJ7">
        <f>MEDIAN(N18:N29)</f>
        <v>15</v>
      </c>
      <c r="AK7">
        <f>MEDIAN(AB18:AB29)</f>
        <v>51</v>
      </c>
    </row>
    <row r="8" spans="1:55" x14ac:dyDescent="0.25">
      <c r="A8" s="1">
        <v>5</v>
      </c>
      <c r="B8" s="1" t="s">
        <v>24</v>
      </c>
      <c r="C8" s="1">
        <v>8</v>
      </c>
      <c r="D8" s="1">
        <v>6</v>
      </c>
      <c r="E8" s="1">
        <v>5</v>
      </c>
      <c r="F8" s="1">
        <v>9</v>
      </c>
      <c r="G8" s="1">
        <v>8</v>
      </c>
      <c r="H8" s="1">
        <v>1</v>
      </c>
      <c r="I8">
        <f t="shared" si="0"/>
        <v>80</v>
      </c>
      <c r="J8">
        <f t="shared" si="1"/>
        <v>60</v>
      </c>
      <c r="K8">
        <f t="shared" si="1"/>
        <v>50</v>
      </c>
      <c r="L8">
        <f t="shared" si="1"/>
        <v>90</v>
      </c>
      <c r="M8">
        <f t="shared" si="1"/>
        <v>80</v>
      </c>
      <c r="N8">
        <f t="shared" si="1"/>
        <v>10</v>
      </c>
      <c r="O8">
        <v>5</v>
      </c>
      <c r="P8">
        <v>3</v>
      </c>
      <c r="Q8">
        <v>1</v>
      </c>
      <c r="R8">
        <v>2</v>
      </c>
      <c r="S8">
        <v>4</v>
      </c>
      <c r="T8">
        <v>0</v>
      </c>
      <c r="U8">
        <f t="shared" si="4"/>
        <v>400</v>
      </c>
      <c r="V8">
        <f t="shared" si="5"/>
        <v>180</v>
      </c>
      <c r="W8">
        <f t="shared" si="2"/>
        <v>50</v>
      </c>
      <c r="X8">
        <f t="shared" si="2"/>
        <v>180</v>
      </c>
      <c r="Y8">
        <f t="shared" si="2"/>
        <v>320</v>
      </c>
      <c r="Z8">
        <f t="shared" si="2"/>
        <v>0</v>
      </c>
      <c r="AA8">
        <f t="shared" si="3"/>
        <v>1130</v>
      </c>
      <c r="AB8">
        <f t="shared" si="6"/>
        <v>75.333333333333329</v>
      </c>
      <c r="AC8">
        <f t="shared" si="7"/>
        <v>6.166666666666667</v>
      </c>
      <c r="AD8" s="9" t="s">
        <v>75</v>
      </c>
      <c r="AE8">
        <f>MEDIAN(I66:I93)</f>
        <v>40</v>
      </c>
      <c r="AF8">
        <f t="shared" ref="AF8:AI8" si="10">MEDIAN(J66:J93)</f>
        <v>20</v>
      </c>
      <c r="AG8">
        <f t="shared" si="10"/>
        <v>30</v>
      </c>
      <c r="AH8">
        <f t="shared" si="10"/>
        <v>75</v>
      </c>
      <c r="AI8">
        <f t="shared" si="10"/>
        <v>50</v>
      </c>
      <c r="AJ8">
        <f>MEDIAN(N32:N43)</f>
        <v>20</v>
      </c>
      <c r="AK8">
        <f>MEDIAN(AB32:AB43)</f>
        <v>65.666666666666657</v>
      </c>
    </row>
    <row r="9" spans="1:55" x14ac:dyDescent="0.25">
      <c r="A9" s="1">
        <v>6</v>
      </c>
      <c r="B9" s="1" t="s">
        <v>24</v>
      </c>
      <c r="C9" s="1">
        <v>6</v>
      </c>
      <c r="D9" s="1">
        <v>5</v>
      </c>
      <c r="E9" s="1">
        <v>5</v>
      </c>
      <c r="F9" s="1">
        <v>8</v>
      </c>
      <c r="G9" s="1">
        <v>5</v>
      </c>
      <c r="H9" s="1">
        <v>3</v>
      </c>
      <c r="I9">
        <f t="shared" si="0"/>
        <v>60</v>
      </c>
      <c r="J9">
        <f t="shared" si="1"/>
        <v>50</v>
      </c>
      <c r="K9">
        <f t="shared" si="1"/>
        <v>50</v>
      </c>
      <c r="L9">
        <f t="shared" si="1"/>
        <v>80</v>
      </c>
      <c r="M9">
        <f t="shared" si="1"/>
        <v>50</v>
      </c>
      <c r="N9">
        <f t="shared" si="1"/>
        <v>30</v>
      </c>
      <c r="O9">
        <v>5</v>
      </c>
      <c r="P9">
        <v>2</v>
      </c>
      <c r="Q9">
        <v>0</v>
      </c>
      <c r="R9">
        <v>3</v>
      </c>
      <c r="S9">
        <v>3</v>
      </c>
      <c r="T9">
        <v>2</v>
      </c>
      <c r="U9">
        <f t="shared" si="4"/>
        <v>300</v>
      </c>
      <c r="V9">
        <f t="shared" si="5"/>
        <v>100</v>
      </c>
      <c r="W9">
        <f t="shared" si="2"/>
        <v>0</v>
      </c>
      <c r="X9">
        <f t="shared" si="2"/>
        <v>240</v>
      </c>
      <c r="Y9">
        <f t="shared" si="2"/>
        <v>150</v>
      </c>
      <c r="Z9">
        <f t="shared" si="2"/>
        <v>60</v>
      </c>
      <c r="AA9">
        <f t="shared" si="3"/>
        <v>850</v>
      </c>
      <c r="AB9">
        <f t="shared" si="6"/>
        <v>56.666666666666664</v>
      </c>
      <c r="AC9">
        <f t="shared" si="7"/>
        <v>5.333333333333333</v>
      </c>
    </row>
    <row r="10" spans="1:55" x14ac:dyDescent="0.25">
      <c r="A10" s="1">
        <v>7</v>
      </c>
      <c r="B10" s="1" t="s">
        <v>24</v>
      </c>
      <c r="C10" s="1">
        <v>1</v>
      </c>
      <c r="D10" s="1">
        <v>1</v>
      </c>
      <c r="E10" s="1">
        <v>1</v>
      </c>
      <c r="F10" s="1">
        <v>10</v>
      </c>
      <c r="G10" s="1">
        <v>1</v>
      </c>
      <c r="H10" s="1">
        <v>1</v>
      </c>
      <c r="I10">
        <f t="shared" si="0"/>
        <v>10</v>
      </c>
      <c r="J10">
        <f t="shared" si="1"/>
        <v>10</v>
      </c>
      <c r="K10">
        <f t="shared" si="1"/>
        <v>10</v>
      </c>
      <c r="L10">
        <f t="shared" si="1"/>
        <v>100</v>
      </c>
      <c r="M10">
        <f t="shared" si="1"/>
        <v>10</v>
      </c>
      <c r="N10">
        <f t="shared" si="1"/>
        <v>10</v>
      </c>
      <c r="O10">
        <v>5</v>
      </c>
      <c r="P10">
        <v>1</v>
      </c>
      <c r="Q10">
        <v>2</v>
      </c>
      <c r="R10">
        <v>3</v>
      </c>
      <c r="S10">
        <v>4</v>
      </c>
      <c r="T10">
        <v>0</v>
      </c>
      <c r="U10">
        <f t="shared" si="4"/>
        <v>50</v>
      </c>
      <c r="V10">
        <f t="shared" si="5"/>
        <v>10</v>
      </c>
      <c r="W10">
        <f t="shared" si="2"/>
        <v>20</v>
      </c>
      <c r="X10">
        <f t="shared" si="2"/>
        <v>300</v>
      </c>
      <c r="Y10">
        <f t="shared" si="2"/>
        <v>40</v>
      </c>
      <c r="Z10">
        <f t="shared" si="2"/>
        <v>0</v>
      </c>
      <c r="AA10">
        <f t="shared" si="3"/>
        <v>420</v>
      </c>
      <c r="AB10">
        <f t="shared" si="6"/>
        <v>28</v>
      </c>
      <c r="AC10">
        <f t="shared" si="7"/>
        <v>2.5</v>
      </c>
      <c r="AE10" s="14" t="s">
        <v>77</v>
      </c>
      <c r="AF10" s="14"/>
      <c r="AG10" s="14"/>
      <c r="AH10" s="14"/>
      <c r="AI10" s="14"/>
      <c r="AJ10" s="14"/>
      <c r="AK10" s="14"/>
    </row>
    <row r="11" spans="1:55" x14ac:dyDescent="0.25">
      <c r="A11" s="1">
        <v>8</v>
      </c>
      <c r="B11" s="1" t="s">
        <v>24</v>
      </c>
      <c r="C11" s="1">
        <v>6</v>
      </c>
      <c r="D11" s="1">
        <v>2</v>
      </c>
      <c r="E11" s="1">
        <v>6</v>
      </c>
      <c r="F11" s="1">
        <v>7</v>
      </c>
      <c r="G11" s="1">
        <v>4</v>
      </c>
      <c r="H11" s="1">
        <v>6</v>
      </c>
      <c r="I11">
        <f t="shared" si="0"/>
        <v>60</v>
      </c>
      <c r="J11">
        <f t="shared" si="1"/>
        <v>20</v>
      </c>
      <c r="K11">
        <f t="shared" si="1"/>
        <v>60</v>
      </c>
      <c r="L11">
        <f t="shared" si="1"/>
        <v>70</v>
      </c>
      <c r="M11">
        <f t="shared" si="1"/>
        <v>40</v>
      </c>
      <c r="N11">
        <f t="shared" si="1"/>
        <v>60</v>
      </c>
      <c r="O11">
        <v>4</v>
      </c>
      <c r="P11">
        <v>0</v>
      </c>
      <c r="Q11">
        <v>5</v>
      </c>
      <c r="R11">
        <v>1</v>
      </c>
      <c r="S11">
        <v>2</v>
      </c>
      <c r="T11">
        <v>3</v>
      </c>
      <c r="U11">
        <f t="shared" si="4"/>
        <v>240</v>
      </c>
      <c r="V11">
        <f t="shared" si="5"/>
        <v>0</v>
      </c>
      <c r="W11">
        <f t="shared" si="2"/>
        <v>300</v>
      </c>
      <c r="X11">
        <f t="shared" si="2"/>
        <v>70</v>
      </c>
      <c r="Y11">
        <f t="shared" si="2"/>
        <v>80</v>
      </c>
      <c r="Z11">
        <f t="shared" si="2"/>
        <v>180</v>
      </c>
      <c r="AA11">
        <f t="shared" si="3"/>
        <v>870</v>
      </c>
      <c r="AB11">
        <f t="shared" si="6"/>
        <v>58</v>
      </c>
      <c r="AC11">
        <f t="shared" si="7"/>
        <v>5.166666666666667</v>
      </c>
      <c r="AD11" s="9" t="s">
        <v>36</v>
      </c>
      <c r="AE11" t="s">
        <v>52</v>
      </c>
      <c r="AF11" t="s">
        <v>53</v>
      </c>
      <c r="AG11" t="s">
        <v>54</v>
      </c>
      <c r="AH11" t="s">
        <v>55</v>
      </c>
      <c r="AI11" t="s">
        <v>56</v>
      </c>
      <c r="AJ11" t="s">
        <v>57</v>
      </c>
      <c r="AK11" t="s">
        <v>72</v>
      </c>
      <c r="AL11" s="9" t="s">
        <v>78</v>
      </c>
    </row>
    <row r="12" spans="1:55" x14ac:dyDescent="0.25">
      <c r="A12" s="1">
        <v>9</v>
      </c>
      <c r="B12" s="1" t="s">
        <v>24</v>
      </c>
      <c r="C12" s="1">
        <v>4</v>
      </c>
      <c r="D12" s="1">
        <v>7</v>
      </c>
      <c r="E12" s="1">
        <v>3</v>
      </c>
      <c r="F12" s="1">
        <v>6</v>
      </c>
      <c r="G12" s="1">
        <v>6</v>
      </c>
      <c r="H12" s="1">
        <v>2</v>
      </c>
      <c r="I12">
        <f t="shared" si="0"/>
        <v>40</v>
      </c>
      <c r="J12">
        <f t="shared" si="1"/>
        <v>70</v>
      </c>
      <c r="K12">
        <f t="shared" si="1"/>
        <v>30</v>
      </c>
      <c r="L12">
        <f t="shared" si="1"/>
        <v>60</v>
      </c>
      <c r="M12">
        <f t="shared" si="1"/>
        <v>60</v>
      </c>
      <c r="N12">
        <f t="shared" si="1"/>
        <v>20</v>
      </c>
      <c r="O12">
        <v>5</v>
      </c>
      <c r="P12">
        <v>1</v>
      </c>
      <c r="Q12">
        <v>0</v>
      </c>
      <c r="R12">
        <v>2</v>
      </c>
      <c r="S12">
        <v>4</v>
      </c>
      <c r="T12">
        <v>3</v>
      </c>
      <c r="U12">
        <f t="shared" si="4"/>
        <v>200</v>
      </c>
      <c r="V12">
        <f t="shared" si="5"/>
        <v>70</v>
      </c>
      <c r="W12">
        <f t="shared" si="2"/>
        <v>0</v>
      </c>
      <c r="X12">
        <f t="shared" si="2"/>
        <v>120</v>
      </c>
      <c r="Y12">
        <f t="shared" si="2"/>
        <v>240</v>
      </c>
      <c r="Z12">
        <f t="shared" si="2"/>
        <v>60</v>
      </c>
      <c r="AA12">
        <f t="shared" si="3"/>
        <v>690</v>
      </c>
      <c r="AB12">
        <f t="shared" si="6"/>
        <v>46</v>
      </c>
      <c r="AC12">
        <f t="shared" si="7"/>
        <v>4.666666666666667</v>
      </c>
      <c r="AD12" s="9" t="s">
        <v>73</v>
      </c>
      <c r="AE12" s="10">
        <f>AVERAGE(I4:I32)</f>
        <v>45.517241379310342</v>
      </c>
      <c r="AF12" s="10">
        <f t="shared" ref="AF12:AJ12" si="11">AVERAGE(J4:J32)</f>
        <v>35.862068965517238</v>
      </c>
      <c r="AG12" s="10">
        <f t="shared" si="11"/>
        <v>33.793103448275865</v>
      </c>
      <c r="AH12" s="10">
        <f t="shared" si="11"/>
        <v>75.862068965517238</v>
      </c>
      <c r="AI12" s="10">
        <f t="shared" si="11"/>
        <v>48.620689655172413</v>
      </c>
      <c r="AJ12" s="10">
        <f t="shared" si="11"/>
        <v>33.793103448275865</v>
      </c>
      <c r="AK12" s="10">
        <f>AVERAGE(AB4:AB32)</f>
        <v>52.206896551724135</v>
      </c>
      <c r="AL12" s="10">
        <f>_xlfn.STDEV.S(AB4:AB32)</f>
        <v>14.470663753576549</v>
      </c>
      <c r="AM12" s="10"/>
      <c r="AN12" s="10"/>
      <c r="AO12" s="10"/>
      <c r="AP12" s="10"/>
      <c r="AQ12" s="10"/>
    </row>
    <row r="13" spans="1:55" x14ac:dyDescent="0.25">
      <c r="A13" s="1">
        <v>10</v>
      </c>
      <c r="B13" s="1" t="s">
        <v>24</v>
      </c>
      <c r="C13" s="1">
        <v>1</v>
      </c>
      <c r="D13" s="1">
        <v>1</v>
      </c>
      <c r="E13" s="1">
        <v>2</v>
      </c>
      <c r="F13" s="1">
        <v>10</v>
      </c>
      <c r="G13" s="1">
        <v>1</v>
      </c>
      <c r="H13" s="1">
        <v>1</v>
      </c>
      <c r="I13">
        <f t="shared" si="0"/>
        <v>10</v>
      </c>
      <c r="J13">
        <f t="shared" si="1"/>
        <v>10</v>
      </c>
      <c r="K13">
        <f t="shared" si="1"/>
        <v>20</v>
      </c>
      <c r="L13">
        <f t="shared" si="1"/>
        <v>100</v>
      </c>
      <c r="M13">
        <f t="shared" si="1"/>
        <v>10</v>
      </c>
      <c r="N13">
        <f t="shared" si="1"/>
        <v>10</v>
      </c>
      <c r="O13">
        <v>3</v>
      </c>
      <c r="P13">
        <v>1</v>
      </c>
      <c r="Q13">
        <v>4</v>
      </c>
      <c r="R13">
        <v>5</v>
      </c>
      <c r="S13">
        <v>2</v>
      </c>
      <c r="T13">
        <v>0</v>
      </c>
      <c r="U13">
        <f t="shared" si="4"/>
        <v>30</v>
      </c>
      <c r="V13">
        <f t="shared" si="5"/>
        <v>10</v>
      </c>
      <c r="W13">
        <f t="shared" si="2"/>
        <v>80</v>
      </c>
      <c r="X13">
        <f t="shared" si="2"/>
        <v>500</v>
      </c>
      <c r="Y13">
        <f t="shared" si="2"/>
        <v>20</v>
      </c>
      <c r="Z13">
        <f t="shared" si="2"/>
        <v>0</v>
      </c>
      <c r="AA13">
        <f t="shared" si="3"/>
        <v>640</v>
      </c>
      <c r="AB13">
        <f t="shared" si="6"/>
        <v>42.666666666666664</v>
      </c>
      <c r="AC13">
        <f t="shared" si="7"/>
        <v>2.6666666666666665</v>
      </c>
      <c r="AD13" s="9" t="s">
        <v>74</v>
      </c>
      <c r="AE13" s="10">
        <f>AVERAGE(I35:I63)</f>
        <v>66.896551724137936</v>
      </c>
      <c r="AF13" s="10">
        <f t="shared" ref="AF13:AJ13" si="12">AVERAGE(J35:J63)</f>
        <v>36.206896551724135</v>
      </c>
      <c r="AG13" s="10">
        <f t="shared" si="12"/>
        <v>45.517241379310342</v>
      </c>
      <c r="AH13" s="10">
        <f t="shared" si="12"/>
        <v>71.724137931034477</v>
      </c>
      <c r="AI13" s="10">
        <f t="shared" si="12"/>
        <v>60</v>
      </c>
      <c r="AJ13" s="10">
        <f t="shared" si="12"/>
        <v>35.517241379310342</v>
      </c>
      <c r="AK13" s="10">
        <f>AVERAGE(AB35:AB63)</f>
        <v>60.390804597701148</v>
      </c>
      <c r="AL13" s="10">
        <f>_xlfn.STDEV.S(AB35:AB63)</f>
        <v>13.231176796070239</v>
      </c>
      <c r="AM13" s="10"/>
      <c r="AN13" s="10"/>
      <c r="AO13" s="10"/>
      <c r="AP13" s="10"/>
      <c r="AQ13" s="10"/>
    </row>
    <row r="14" spans="1:55" x14ac:dyDescent="0.25">
      <c r="A14" s="1">
        <v>11</v>
      </c>
      <c r="B14" s="1" t="s">
        <v>24</v>
      </c>
      <c r="C14" s="1">
        <v>2</v>
      </c>
      <c r="D14" s="1">
        <v>2</v>
      </c>
      <c r="E14" s="1">
        <v>1</v>
      </c>
      <c r="F14" s="1">
        <v>7</v>
      </c>
      <c r="G14" s="1">
        <v>2</v>
      </c>
      <c r="H14" s="1">
        <v>8</v>
      </c>
      <c r="I14">
        <f t="shared" si="0"/>
        <v>20</v>
      </c>
      <c r="J14">
        <f t="shared" si="1"/>
        <v>20</v>
      </c>
      <c r="K14">
        <f t="shared" si="1"/>
        <v>10</v>
      </c>
      <c r="L14">
        <f t="shared" si="1"/>
        <v>70</v>
      </c>
      <c r="M14">
        <f t="shared" si="1"/>
        <v>20</v>
      </c>
      <c r="N14">
        <f t="shared" si="1"/>
        <v>80</v>
      </c>
      <c r="O14">
        <v>2</v>
      </c>
      <c r="P14">
        <v>1</v>
      </c>
      <c r="Q14">
        <v>0</v>
      </c>
      <c r="R14">
        <v>5</v>
      </c>
      <c r="S14">
        <v>4</v>
      </c>
      <c r="T14">
        <v>3</v>
      </c>
      <c r="U14">
        <f t="shared" si="4"/>
        <v>40</v>
      </c>
      <c r="V14">
        <f t="shared" si="5"/>
        <v>20</v>
      </c>
      <c r="W14">
        <f t="shared" si="2"/>
        <v>0</v>
      </c>
      <c r="X14">
        <f t="shared" si="2"/>
        <v>350</v>
      </c>
      <c r="Y14">
        <f t="shared" si="2"/>
        <v>80</v>
      </c>
      <c r="Z14">
        <f t="shared" si="2"/>
        <v>240</v>
      </c>
      <c r="AA14">
        <f t="shared" si="3"/>
        <v>730</v>
      </c>
      <c r="AB14">
        <f t="shared" si="6"/>
        <v>48.666666666666664</v>
      </c>
      <c r="AC14">
        <f t="shared" si="7"/>
        <v>3.6666666666666665</v>
      </c>
      <c r="AD14" s="9" t="s">
        <v>75</v>
      </c>
      <c r="AE14" s="10">
        <f>AVERAGE(I66:I93)</f>
        <v>43.571428571428569</v>
      </c>
      <c r="AF14" s="10">
        <f t="shared" ref="AF14:AJ14" si="13">AVERAGE(J66:J93)</f>
        <v>30.714285714285715</v>
      </c>
      <c r="AG14" s="10">
        <f t="shared" si="13"/>
        <v>36.428571428571431</v>
      </c>
      <c r="AH14" s="10">
        <f t="shared" si="13"/>
        <v>74.285714285714292</v>
      </c>
      <c r="AI14" s="10">
        <f t="shared" si="13"/>
        <v>48.571428571428569</v>
      </c>
      <c r="AJ14" s="10">
        <f t="shared" si="13"/>
        <v>23.571428571428573</v>
      </c>
      <c r="AK14" s="10">
        <f>AVERAGE(AB66:AB93)</f>
        <v>48.357142857142868</v>
      </c>
      <c r="AL14" s="10">
        <f>_xlfn.STDEV.S(AB32:AB43)</f>
        <v>15.482367509644769</v>
      </c>
      <c r="AM14" s="10"/>
      <c r="AN14" s="10"/>
      <c r="AO14" s="10"/>
      <c r="AP14" s="10"/>
      <c r="AQ14" s="10"/>
    </row>
    <row r="15" spans="1:55" x14ac:dyDescent="0.25">
      <c r="A15" s="1">
        <v>12</v>
      </c>
      <c r="B15" s="1" t="s">
        <v>24</v>
      </c>
      <c r="C15" s="1">
        <v>2</v>
      </c>
      <c r="D15" s="1">
        <v>1</v>
      </c>
      <c r="E15" s="1">
        <v>5</v>
      </c>
      <c r="F15" s="1">
        <v>9</v>
      </c>
      <c r="G15" s="1">
        <v>2</v>
      </c>
      <c r="H15" s="1">
        <v>1</v>
      </c>
      <c r="I15">
        <f t="shared" si="0"/>
        <v>20</v>
      </c>
      <c r="J15">
        <f t="shared" si="1"/>
        <v>10</v>
      </c>
      <c r="K15">
        <f t="shared" si="1"/>
        <v>50</v>
      </c>
      <c r="L15">
        <f t="shared" si="1"/>
        <v>90</v>
      </c>
      <c r="M15">
        <f t="shared" si="1"/>
        <v>20</v>
      </c>
      <c r="N15">
        <f t="shared" si="1"/>
        <v>10</v>
      </c>
      <c r="O15">
        <v>3</v>
      </c>
      <c r="P15">
        <v>0</v>
      </c>
      <c r="Q15">
        <v>4</v>
      </c>
      <c r="R15">
        <v>3</v>
      </c>
      <c r="S15">
        <v>2</v>
      </c>
      <c r="T15">
        <v>3</v>
      </c>
      <c r="U15">
        <f t="shared" si="4"/>
        <v>60</v>
      </c>
      <c r="V15">
        <f t="shared" si="5"/>
        <v>0</v>
      </c>
      <c r="W15">
        <f t="shared" si="2"/>
        <v>200</v>
      </c>
      <c r="X15">
        <f t="shared" si="2"/>
        <v>270</v>
      </c>
      <c r="Y15">
        <f t="shared" si="2"/>
        <v>40</v>
      </c>
      <c r="Z15">
        <f t="shared" si="2"/>
        <v>30</v>
      </c>
      <c r="AA15">
        <f t="shared" si="3"/>
        <v>600</v>
      </c>
      <c r="AB15">
        <f t="shared" si="6"/>
        <v>40</v>
      </c>
      <c r="AC15">
        <f t="shared" si="7"/>
        <v>3.3333333333333335</v>
      </c>
      <c r="AD15" s="9" t="s">
        <v>78</v>
      </c>
      <c r="AE15" s="10">
        <f>_xlfn.STDEV.S(I4:I32)</f>
        <v>24.725089469223036</v>
      </c>
      <c r="AF15" s="10">
        <f>_xlfn.STDEV.S(J4:J32)</f>
        <v>29.095561931984253</v>
      </c>
      <c r="AG15" s="10">
        <f t="shared" ref="AG15:AJ15" si="14">_xlfn.STDEV.S(K4:K32)</f>
        <v>17.609614480944426</v>
      </c>
      <c r="AH15" s="10">
        <f t="shared" si="14"/>
        <v>17.426835090766993</v>
      </c>
      <c r="AI15" s="10">
        <f t="shared" si="14"/>
        <v>26.555082635779982</v>
      </c>
      <c r="AJ15" s="10">
        <f t="shared" si="14"/>
        <v>28.210154339914084</v>
      </c>
      <c r="AK15" s="10"/>
      <c r="AL15" s="10">
        <f>AE15/SQRT(29)</f>
        <v>4.5913338504452357</v>
      </c>
      <c r="AM15" s="10">
        <f t="shared" ref="AM15:AQ16" si="15">AF15/SQRT(29)</f>
        <v>5.4029102124111725</v>
      </c>
      <c r="AN15" s="10">
        <f t="shared" si="15"/>
        <v>3.2700233162064851</v>
      </c>
      <c r="AO15" s="10">
        <f t="shared" si="15"/>
        <v>3.236082035535691</v>
      </c>
      <c r="AP15" s="10">
        <f t="shared" si="15"/>
        <v>4.9311550503707222</v>
      </c>
      <c r="AQ15" s="10">
        <f t="shared" si="15"/>
        <v>5.2384941501771731</v>
      </c>
    </row>
    <row r="16" spans="1:55" x14ac:dyDescent="0.25">
      <c r="A16" s="1">
        <v>13</v>
      </c>
      <c r="B16" s="1" t="s">
        <v>24</v>
      </c>
      <c r="C16" s="1">
        <v>7</v>
      </c>
      <c r="D16" s="1">
        <v>10</v>
      </c>
      <c r="E16" s="1">
        <v>4</v>
      </c>
      <c r="F16" s="1">
        <v>5</v>
      </c>
      <c r="G16" s="1">
        <v>9</v>
      </c>
      <c r="H16" s="1">
        <v>8</v>
      </c>
      <c r="I16">
        <f t="shared" si="0"/>
        <v>70</v>
      </c>
      <c r="J16">
        <f t="shared" si="1"/>
        <v>100</v>
      </c>
      <c r="K16">
        <f t="shared" si="1"/>
        <v>40</v>
      </c>
      <c r="L16">
        <f t="shared" si="1"/>
        <v>50</v>
      </c>
      <c r="M16">
        <f t="shared" si="1"/>
        <v>90</v>
      </c>
      <c r="N16">
        <f t="shared" si="1"/>
        <v>80</v>
      </c>
      <c r="O16">
        <v>3</v>
      </c>
      <c r="P16">
        <v>5</v>
      </c>
      <c r="Q16">
        <v>3</v>
      </c>
      <c r="R16">
        <v>0</v>
      </c>
      <c r="S16">
        <v>3</v>
      </c>
      <c r="T16">
        <v>1</v>
      </c>
      <c r="U16">
        <f t="shared" si="4"/>
        <v>210</v>
      </c>
      <c r="V16">
        <f t="shared" ref="V16:Z32" si="16">J16*P16</f>
        <v>500</v>
      </c>
      <c r="W16">
        <f t="shared" si="2"/>
        <v>120</v>
      </c>
      <c r="X16">
        <f t="shared" si="2"/>
        <v>0</v>
      </c>
      <c r="Y16">
        <f t="shared" si="2"/>
        <v>270</v>
      </c>
      <c r="Z16">
        <f t="shared" si="2"/>
        <v>80</v>
      </c>
      <c r="AA16">
        <f t="shared" si="3"/>
        <v>1180</v>
      </c>
      <c r="AB16">
        <f t="shared" si="6"/>
        <v>78.666666666666671</v>
      </c>
      <c r="AC16">
        <f t="shared" si="7"/>
        <v>7.166666666666667</v>
      </c>
      <c r="AE16" s="10">
        <f>_xlfn.STDEV.S(I35:I63)</f>
        <v>23.619521023911876</v>
      </c>
      <c r="AF16" s="10">
        <f t="shared" ref="AF16:AJ16" si="17">_xlfn.STDEV.S(J35:J63)</f>
        <v>25.552997182808721</v>
      </c>
      <c r="AG16" s="10">
        <f t="shared" si="17"/>
        <v>19.745923068636532</v>
      </c>
      <c r="AH16" s="10">
        <f t="shared" si="17"/>
        <v>19.469567006198865</v>
      </c>
      <c r="AI16" s="10">
        <f t="shared" si="17"/>
        <v>22.677868380553633</v>
      </c>
      <c r="AJ16" s="10">
        <f t="shared" si="17"/>
        <v>26.80434491652316</v>
      </c>
      <c r="AK16" s="10"/>
      <c r="AL16" s="10">
        <f>AE16/SQRT(29)</f>
        <v>4.3860349441153019</v>
      </c>
      <c r="AM16" s="10">
        <f t="shared" si="15"/>
        <v>4.7450724532989188</v>
      </c>
      <c r="AN16" s="10">
        <f t="shared" si="15"/>
        <v>3.6667258618485108</v>
      </c>
      <c r="AO16" s="10">
        <f t="shared" si="15"/>
        <v>3.6154078293768697</v>
      </c>
      <c r="AP16" s="10">
        <f t="shared" si="15"/>
        <v>4.2111744380615788</v>
      </c>
      <c r="AQ16" s="10">
        <f t="shared" si="15"/>
        <v>4.9774418938881091</v>
      </c>
    </row>
    <row r="17" spans="1:43" x14ac:dyDescent="0.25">
      <c r="A17" s="1">
        <v>14</v>
      </c>
      <c r="B17" s="1" t="s">
        <v>24</v>
      </c>
      <c r="C17" s="1">
        <v>8</v>
      </c>
      <c r="D17" s="1">
        <v>1</v>
      </c>
      <c r="E17" s="1">
        <v>1</v>
      </c>
      <c r="F17" s="1">
        <v>4</v>
      </c>
      <c r="G17" s="1">
        <v>6</v>
      </c>
      <c r="H17" s="1">
        <v>6</v>
      </c>
      <c r="I17">
        <f t="shared" si="0"/>
        <v>80</v>
      </c>
      <c r="J17">
        <f t="shared" si="1"/>
        <v>10</v>
      </c>
      <c r="K17">
        <f t="shared" si="1"/>
        <v>10</v>
      </c>
      <c r="L17">
        <f t="shared" si="1"/>
        <v>40</v>
      </c>
      <c r="M17">
        <f t="shared" si="1"/>
        <v>60</v>
      </c>
      <c r="N17">
        <f t="shared" si="1"/>
        <v>60</v>
      </c>
      <c r="O17">
        <v>4</v>
      </c>
      <c r="P17">
        <v>0</v>
      </c>
      <c r="Q17">
        <v>3</v>
      </c>
      <c r="R17">
        <v>1</v>
      </c>
      <c r="S17">
        <v>5</v>
      </c>
      <c r="T17">
        <v>2</v>
      </c>
      <c r="U17">
        <f t="shared" si="4"/>
        <v>320</v>
      </c>
      <c r="V17">
        <f t="shared" si="16"/>
        <v>0</v>
      </c>
      <c r="W17">
        <f t="shared" si="2"/>
        <v>30</v>
      </c>
      <c r="X17">
        <f t="shared" si="2"/>
        <v>40</v>
      </c>
      <c r="Y17">
        <f t="shared" si="2"/>
        <v>300</v>
      </c>
      <c r="Z17">
        <f t="shared" si="2"/>
        <v>120</v>
      </c>
      <c r="AA17">
        <f t="shared" si="3"/>
        <v>810</v>
      </c>
      <c r="AB17">
        <f t="shared" si="6"/>
        <v>54</v>
      </c>
      <c r="AC17">
        <f t="shared" si="7"/>
        <v>4.333333333333333</v>
      </c>
      <c r="AE17" s="10">
        <f>_xlfn.STDEV.S(I66:I93)</f>
        <v>24.223387186198526</v>
      </c>
      <c r="AF17" s="10">
        <f t="shared" ref="AF17:AJ17" si="18">_xlfn.STDEV.S(J66:J93)</f>
        <v>25.665739006117839</v>
      </c>
      <c r="AG17" s="10">
        <f t="shared" si="18"/>
        <v>20.943360251505457</v>
      </c>
      <c r="AH17" s="10">
        <f t="shared" si="18"/>
        <v>18.94017314414414</v>
      </c>
      <c r="AI17" s="10">
        <f t="shared" si="18"/>
        <v>22.56091108520906</v>
      </c>
      <c r="AJ17" s="10">
        <f t="shared" si="18"/>
        <v>19.853964193074745</v>
      </c>
      <c r="AK17" s="10"/>
      <c r="AL17" s="10">
        <f>AE17/SQRT(28)</f>
        <v>4.5777898861649966</v>
      </c>
      <c r="AM17" s="10">
        <f t="shared" ref="AM17:AQ17" si="19">AF17/SQRT(28)</f>
        <v>4.8503687589198483</v>
      </c>
      <c r="AN17" s="10">
        <f t="shared" si="19"/>
        <v>3.957923060251328</v>
      </c>
      <c r="AO17" s="10">
        <f t="shared" si="19"/>
        <v>3.579356280564979</v>
      </c>
      <c r="AP17" s="10">
        <f t="shared" si="19"/>
        <v>4.2636114344645373</v>
      </c>
      <c r="AQ17" s="10">
        <f t="shared" si="19"/>
        <v>3.7520465566897814</v>
      </c>
    </row>
    <row r="18" spans="1:43" x14ac:dyDescent="0.25">
      <c r="A18" s="1">
        <v>15</v>
      </c>
      <c r="B18" s="1" t="s">
        <v>24</v>
      </c>
      <c r="C18" s="1">
        <v>2</v>
      </c>
      <c r="D18" s="1">
        <v>1</v>
      </c>
      <c r="E18" s="1">
        <v>1</v>
      </c>
      <c r="F18" s="1">
        <v>7</v>
      </c>
      <c r="G18" s="1">
        <v>1</v>
      </c>
      <c r="H18" s="1">
        <v>8</v>
      </c>
      <c r="I18">
        <f t="shared" si="0"/>
        <v>20</v>
      </c>
      <c r="J18">
        <f t="shared" si="1"/>
        <v>10</v>
      </c>
      <c r="K18">
        <f t="shared" si="1"/>
        <v>10</v>
      </c>
      <c r="L18">
        <f t="shared" si="1"/>
        <v>70</v>
      </c>
      <c r="M18">
        <f t="shared" si="1"/>
        <v>10</v>
      </c>
      <c r="N18">
        <f t="shared" si="1"/>
        <v>80</v>
      </c>
      <c r="O18">
        <v>2</v>
      </c>
      <c r="P18">
        <v>2</v>
      </c>
      <c r="Q18">
        <v>5</v>
      </c>
      <c r="R18">
        <v>4</v>
      </c>
      <c r="S18">
        <v>2</v>
      </c>
      <c r="T18">
        <v>0</v>
      </c>
      <c r="U18">
        <f t="shared" si="4"/>
        <v>40</v>
      </c>
      <c r="V18">
        <f t="shared" si="16"/>
        <v>20</v>
      </c>
      <c r="W18">
        <f t="shared" si="2"/>
        <v>50</v>
      </c>
      <c r="X18">
        <f t="shared" si="2"/>
        <v>280</v>
      </c>
      <c r="Y18">
        <f t="shared" si="2"/>
        <v>20</v>
      </c>
      <c r="Z18">
        <f t="shared" si="2"/>
        <v>0</v>
      </c>
      <c r="AA18">
        <f t="shared" si="3"/>
        <v>410</v>
      </c>
      <c r="AB18">
        <f t="shared" si="6"/>
        <v>27.333333333333332</v>
      </c>
      <c r="AC18">
        <f t="shared" si="7"/>
        <v>3.3333333333333335</v>
      </c>
    </row>
    <row r="19" spans="1:43" x14ac:dyDescent="0.25">
      <c r="A19" s="1">
        <v>16</v>
      </c>
      <c r="B19" s="1" t="s">
        <v>24</v>
      </c>
      <c r="C19" s="1">
        <v>4</v>
      </c>
      <c r="D19" s="1">
        <v>6</v>
      </c>
      <c r="E19" s="1">
        <v>3</v>
      </c>
      <c r="F19" s="1">
        <v>6</v>
      </c>
      <c r="G19" s="1">
        <v>4</v>
      </c>
      <c r="H19" s="1">
        <v>1</v>
      </c>
      <c r="I19">
        <f t="shared" si="0"/>
        <v>40</v>
      </c>
      <c r="J19">
        <f t="shared" si="1"/>
        <v>60</v>
      </c>
      <c r="K19">
        <f t="shared" si="1"/>
        <v>30</v>
      </c>
      <c r="L19">
        <f t="shared" si="1"/>
        <v>60</v>
      </c>
      <c r="M19">
        <f t="shared" si="1"/>
        <v>40</v>
      </c>
      <c r="N19">
        <f t="shared" si="1"/>
        <v>10</v>
      </c>
      <c r="O19">
        <v>2</v>
      </c>
      <c r="P19">
        <v>4</v>
      </c>
      <c r="Q19">
        <v>5</v>
      </c>
      <c r="R19">
        <v>1</v>
      </c>
      <c r="S19">
        <v>0</v>
      </c>
      <c r="T19">
        <v>3</v>
      </c>
      <c r="U19">
        <f t="shared" si="4"/>
        <v>80</v>
      </c>
      <c r="V19">
        <f t="shared" si="16"/>
        <v>240</v>
      </c>
      <c r="W19">
        <f t="shared" si="2"/>
        <v>150</v>
      </c>
      <c r="X19">
        <f t="shared" si="2"/>
        <v>60</v>
      </c>
      <c r="Y19">
        <f t="shared" si="2"/>
        <v>0</v>
      </c>
      <c r="Z19">
        <f t="shared" si="2"/>
        <v>30</v>
      </c>
      <c r="AA19">
        <f t="shared" si="3"/>
        <v>560</v>
      </c>
      <c r="AB19">
        <f t="shared" si="6"/>
        <v>37.333333333333336</v>
      </c>
      <c r="AC19">
        <f t="shared" si="7"/>
        <v>4</v>
      </c>
    </row>
    <row r="20" spans="1:43" x14ac:dyDescent="0.25">
      <c r="A20" s="1">
        <v>17</v>
      </c>
      <c r="B20" s="1" t="s">
        <v>24</v>
      </c>
      <c r="C20" s="1">
        <v>2</v>
      </c>
      <c r="D20" s="1">
        <v>1</v>
      </c>
      <c r="E20" s="1">
        <v>4</v>
      </c>
      <c r="F20" s="1">
        <v>7</v>
      </c>
      <c r="G20" s="1">
        <v>8</v>
      </c>
      <c r="H20" s="1">
        <v>1</v>
      </c>
      <c r="I20">
        <f t="shared" si="0"/>
        <v>20</v>
      </c>
      <c r="J20">
        <f t="shared" ref="J20:N32" si="20">(D20*100)/10</f>
        <v>10</v>
      </c>
      <c r="K20">
        <f t="shared" si="20"/>
        <v>40</v>
      </c>
      <c r="L20">
        <f t="shared" si="20"/>
        <v>70</v>
      </c>
      <c r="M20">
        <f t="shared" si="20"/>
        <v>80</v>
      </c>
      <c r="N20">
        <f t="shared" si="20"/>
        <v>10</v>
      </c>
      <c r="O20">
        <v>2</v>
      </c>
      <c r="P20">
        <v>0</v>
      </c>
      <c r="Q20">
        <v>5</v>
      </c>
      <c r="R20">
        <v>4</v>
      </c>
      <c r="S20">
        <v>3</v>
      </c>
      <c r="T20">
        <v>1</v>
      </c>
      <c r="U20">
        <f t="shared" si="4"/>
        <v>40</v>
      </c>
      <c r="V20">
        <f t="shared" si="16"/>
        <v>0</v>
      </c>
      <c r="W20">
        <f t="shared" si="16"/>
        <v>200</v>
      </c>
      <c r="X20">
        <f t="shared" si="16"/>
        <v>280</v>
      </c>
      <c r="Y20">
        <f t="shared" si="16"/>
        <v>240</v>
      </c>
      <c r="Z20">
        <f t="shared" si="16"/>
        <v>10</v>
      </c>
      <c r="AA20">
        <f t="shared" si="3"/>
        <v>770</v>
      </c>
      <c r="AB20">
        <f t="shared" si="6"/>
        <v>51.333333333333336</v>
      </c>
      <c r="AC20">
        <f t="shared" si="7"/>
        <v>3.8333333333333335</v>
      </c>
    </row>
    <row r="21" spans="1:43" x14ac:dyDescent="0.25">
      <c r="A21" s="1">
        <v>18</v>
      </c>
      <c r="B21" s="1" t="s">
        <v>24</v>
      </c>
      <c r="C21" s="1">
        <v>6</v>
      </c>
      <c r="D21" s="1">
        <v>7</v>
      </c>
      <c r="E21" s="1">
        <v>2</v>
      </c>
      <c r="F21" s="1">
        <v>7</v>
      </c>
      <c r="G21" s="1">
        <v>4</v>
      </c>
      <c r="H21" s="1">
        <v>7</v>
      </c>
      <c r="I21">
        <f t="shared" si="0"/>
        <v>60</v>
      </c>
      <c r="J21">
        <f t="shared" si="20"/>
        <v>70</v>
      </c>
      <c r="K21">
        <f t="shared" si="20"/>
        <v>20</v>
      </c>
      <c r="L21">
        <f t="shared" si="20"/>
        <v>70</v>
      </c>
      <c r="M21">
        <f t="shared" si="20"/>
        <v>40</v>
      </c>
      <c r="N21">
        <f t="shared" si="20"/>
        <v>70</v>
      </c>
      <c r="O21">
        <v>1</v>
      </c>
      <c r="P21">
        <v>4</v>
      </c>
      <c r="Q21">
        <v>5</v>
      </c>
      <c r="R21">
        <v>2</v>
      </c>
      <c r="S21">
        <v>3</v>
      </c>
      <c r="T21">
        <v>0</v>
      </c>
      <c r="U21">
        <f t="shared" si="4"/>
        <v>60</v>
      </c>
      <c r="V21">
        <f t="shared" si="16"/>
        <v>280</v>
      </c>
      <c r="W21">
        <f t="shared" si="16"/>
        <v>100</v>
      </c>
      <c r="X21">
        <f t="shared" si="16"/>
        <v>140</v>
      </c>
      <c r="Y21">
        <f t="shared" si="16"/>
        <v>120</v>
      </c>
      <c r="Z21">
        <f t="shared" si="16"/>
        <v>0</v>
      </c>
      <c r="AA21">
        <f t="shared" si="3"/>
        <v>700</v>
      </c>
      <c r="AB21">
        <f t="shared" si="6"/>
        <v>46.666666666666664</v>
      </c>
      <c r="AC21">
        <f t="shared" si="7"/>
        <v>5.5</v>
      </c>
    </row>
    <row r="22" spans="1:43" x14ac:dyDescent="0.25">
      <c r="A22" s="1">
        <v>19</v>
      </c>
      <c r="B22" s="1" t="s">
        <v>24</v>
      </c>
      <c r="C22" s="1">
        <v>4</v>
      </c>
      <c r="D22" s="1">
        <v>7</v>
      </c>
      <c r="E22" s="1">
        <v>7</v>
      </c>
      <c r="F22" s="1">
        <v>10</v>
      </c>
      <c r="G22" s="1">
        <v>6</v>
      </c>
      <c r="H22" s="1">
        <v>1</v>
      </c>
      <c r="I22">
        <f t="shared" si="0"/>
        <v>40</v>
      </c>
      <c r="J22">
        <f t="shared" si="20"/>
        <v>70</v>
      </c>
      <c r="K22">
        <f t="shared" si="20"/>
        <v>70</v>
      </c>
      <c r="L22">
        <f t="shared" si="20"/>
        <v>100</v>
      </c>
      <c r="M22">
        <f t="shared" si="20"/>
        <v>60</v>
      </c>
      <c r="N22">
        <f t="shared" si="20"/>
        <v>10</v>
      </c>
      <c r="O22">
        <v>3</v>
      </c>
      <c r="P22">
        <v>1</v>
      </c>
      <c r="Q22">
        <v>3</v>
      </c>
      <c r="R22">
        <v>5</v>
      </c>
      <c r="S22">
        <v>3</v>
      </c>
      <c r="T22">
        <v>0</v>
      </c>
      <c r="U22">
        <f t="shared" si="4"/>
        <v>120</v>
      </c>
      <c r="V22">
        <f t="shared" si="16"/>
        <v>70</v>
      </c>
      <c r="W22">
        <f t="shared" si="16"/>
        <v>210</v>
      </c>
      <c r="X22">
        <f t="shared" si="16"/>
        <v>500</v>
      </c>
      <c r="Y22">
        <f t="shared" si="16"/>
        <v>180</v>
      </c>
      <c r="Z22">
        <f t="shared" si="16"/>
        <v>0</v>
      </c>
      <c r="AA22">
        <f t="shared" si="3"/>
        <v>1080</v>
      </c>
      <c r="AB22">
        <f t="shared" si="6"/>
        <v>72</v>
      </c>
      <c r="AC22">
        <f t="shared" si="7"/>
        <v>5.833333333333333</v>
      </c>
    </row>
    <row r="23" spans="1:43" x14ac:dyDescent="0.25">
      <c r="A23" s="1">
        <v>20</v>
      </c>
      <c r="B23" s="1" t="s">
        <v>24</v>
      </c>
      <c r="C23" s="1">
        <v>5</v>
      </c>
      <c r="D23" s="1">
        <v>3</v>
      </c>
      <c r="E23" s="1">
        <v>4</v>
      </c>
      <c r="F23" s="1">
        <v>9</v>
      </c>
      <c r="G23" s="1">
        <v>5</v>
      </c>
      <c r="H23" s="1">
        <v>2</v>
      </c>
      <c r="I23">
        <f t="shared" si="0"/>
        <v>50</v>
      </c>
      <c r="J23">
        <f t="shared" si="20"/>
        <v>30</v>
      </c>
      <c r="K23">
        <f t="shared" si="20"/>
        <v>40</v>
      </c>
      <c r="L23">
        <f t="shared" si="20"/>
        <v>90</v>
      </c>
      <c r="M23">
        <f t="shared" si="20"/>
        <v>50</v>
      </c>
      <c r="N23">
        <f t="shared" si="20"/>
        <v>20</v>
      </c>
      <c r="O23">
        <v>3</v>
      </c>
      <c r="P23">
        <v>1</v>
      </c>
      <c r="Q23">
        <v>4</v>
      </c>
      <c r="R23">
        <v>5</v>
      </c>
      <c r="S23">
        <v>2</v>
      </c>
      <c r="T23">
        <v>0</v>
      </c>
      <c r="U23">
        <f t="shared" si="4"/>
        <v>150</v>
      </c>
      <c r="V23">
        <f t="shared" si="16"/>
        <v>30</v>
      </c>
      <c r="W23">
        <f t="shared" si="16"/>
        <v>160</v>
      </c>
      <c r="X23">
        <f t="shared" si="16"/>
        <v>450</v>
      </c>
      <c r="Y23">
        <f t="shared" si="16"/>
        <v>100</v>
      </c>
      <c r="Z23">
        <f t="shared" si="16"/>
        <v>0</v>
      </c>
      <c r="AA23">
        <f t="shared" si="3"/>
        <v>890</v>
      </c>
      <c r="AB23">
        <f t="shared" si="6"/>
        <v>59.333333333333336</v>
      </c>
      <c r="AC23">
        <f t="shared" si="7"/>
        <v>4.666666666666667</v>
      </c>
    </row>
    <row r="24" spans="1:43" x14ac:dyDescent="0.25">
      <c r="A24" s="1">
        <v>21</v>
      </c>
      <c r="B24" s="1" t="s">
        <v>24</v>
      </c>
      <c r="C24" s="1">
        <v>1</v>
      </c>
      <c r="D24" s="1">
        <v>4</v>
      </c>
      <c r="E24" s="1">
        <v>1</v>
      </c>
      <c r="F24" s="1">
        <v>10</v>
      </c>
      <c r="G24" s="1">
        <v>2</v>
      </c>
      <c r="H24" s="1">
        <v>1</v>
      </c>
      <c r="I24">
        <f t="shared" si="0"/>
        <v>10</v>
      </c>
      <c r="J24">
        <f t="shared" si="20"/>
        <v>40</v>
      </c>
      <c r="K24">
        <f t="shared" si="20"/>
        <v>10</v>
      </c>
      <c r="L24">
        <f t="shared" si="20"/>
        <v>100</v>
      </c>
      <c r="M24">
        <f t="shared" si="20"/>
        <v>20</v>
      </c>
      <c r="N24">
        <f t="shared" si="20"/>
        <v>10</v>
      </c>
      <c r="O24">
        <v>4</v>
      </c>
      <c r="P24">
        <v>1</v>
      </c>
      <c r="Q24">
        <v>2</v>
      </c>
      <c r="R24">
        <v>3</v>
      </c>
      <c r="S24">
        <v>5</v>
      </c>
      <c r="T24">
        <v>0</v>
      </c>
      <c r="U24">
        <f t="shared" si="4"/>
        <v>40</v>
      </c>
      <c r="V24">
        <f t="shared" si="16"/>
        <v>40</v>
      </c>
      <c r="W24">
        <f t="shared" si="16"/>
        <v>20</v>
      </c>
      <c r="X24">
        <f t="shared" si="16"/>
        <v>300</v>
      </c>
      <c r="Y24">
        <f t="shared" si="16"/>
        <v>100</v>
      </c>
      <c r="Z24">
        <f t="shared" si="16"/>
        <v>0</v>
      </c>
      <c r="AA24">
        <f t="shared" si="3"/>
        <v>500</v>
      </c>
      <c r="AB24">
        <f t="shared" si="6"/>
        <v>33.333333333333336</v>
      </c>
      <c r="AC24">
        <f t="shared" si="7"/>
        <v>3.1666666666666665</v>
      </c>
    </row>
    <row r="25" spans="1:43" x14ac:dyDescent="0.25">
      <c r="A25" s="1">
        <v>23</v>
      </c>
      <c r="B25" s="1" t="s">
        <v>24</v>
      </c>
      <c r="C25" s="1">
        <v>8</v>
      </c>
      <c r="D25" s="1">
        <v>5</v>
      </c>
      <c r="E25" s="1">
        <v>4</v>
      </c>
      <c r="F25" s="1">
        <v>7</v>
      </c>
      <c r="G25" s="1">
        <v>9</v>
      </c>
      <c r="H25" s="1">
        <v>1</v>
      </c>
      <c r="I25">
        <f t="shared" si="0"/>
        <v>80</v>
      </c>
      <c r="J25">
        <f t="shared" si="20"/>
        <v>50</v>
      </c>
      <c r="K25">
        <f t="shared" si="20"/>
        <v>40</v>
      </c>
      <c r="L25">
        <f t="shared" si="20"/>
        <v>70</v>
      </c>
      <c r="M25">
        <f t="shared" si="20"/>
        <v>90</v>
      </c>
      <c r="N25">
        <f t="shared" si="20"/>
        <v>10</v>
      </c>
      <c r="O25">
        <v>4</v>
      </c>
      <c r="P25">
        <v>1</v>
      </c>
      <c r="Q25">
        <v>2</v>
      </c>
      <c r="R25">
        <v>4</v>
      </c>
      <c r="S25">
        <v>3</v>
      </c>
      <c r="T25">
        <v>1</v>
      </c>
      <c r="U25">
        <f t="shared" si="4"/>
        <v>320</v>
      </c>
      <c r="V25">
        <f t="shared" si="16"/>
        <v>50</v>
      </c>
      <c r="W25">
        <f t="shared" si="16"/>
        <v>80</v>
      </c>
      <c r="X25">
        <f t="shared" si="16"/>
        <v>280</v>
      </c>
      <c r="Y25">
        <f t="shared" si="16"/>
        <v>270</v>
      </c>
      <c r="Z25">
        <f t="shared" si="16"/>
        <v>10</v>
      </c>
      <c r="AA25">
        <f t="shared" si="3"/>
        <v>1010</v>
      </c>
      <c r="AB25">
        <f t="shared" si="6"/>
        <v>67.333333333333329</v>
      </c>
      <c r="AC25">
        <f t="shared" si="7"/>
        <v>5.666666666666667</v>
      </c>
    </row>
    <row r="26" spans="1:43" x14ac:dyDescent="0.25">
      <c r="A26" s="1">
        <v>24</v>
      </c>
      <c r="B26" s="1" t="s">
        <v>24</v>
      </c>
      <c r="C26" s="1">
        <v>3</v>
      </c>
      <c r="D26" s="1">
        <v>1</v>
      </c>
      <c r="E26" s="1">
        <v>4</v>
      </c>
      <c r="F26" s="1">
        <v>10</v>
      </c>
      <c r="G26" s="1">
        <v>4</v>
      </c>
      <c r="H26" s="1">
        <v>1</v>
      </c>
      <c r="I26">
        <f t="shared" si="0"/>
        <v>30</v>
      </c>
      <c r="J26">
        <f t="shared" si="20"/>
        <v>10</v>
      </c>
      <c r="K26">
        <f t="shared" si="20"/>
        <v>40</v>
      </c>
      <c r="L26">
        <f t="shared" si="20"/>
        <v>100</v>
      </c>
      <c r="M26">
        <f t="shared" si="20"/>
        <v>40</v>
      </c>
      <c r="N26">
        <f t="shared" si="20"/>
        <v>10</v>
      </c>
      <c r="O26">
        <v>5</v>
      </c>
      <c r="P26">
        <v>1</v>
      </c>
      <c r="Q26">
        <v>2</v>
      </c>
      <c r="R26">
        <v>4</v>
      </c>
      <c r="S26">
        <v>3</v>
      </c>
      <c r="T26">
        <v>0</v>
      </c>
      <c r="U26">
        <f t="shared" si="4"/>
        <v>150</v>
      </c>
      <c r="V26">
        <f t="shared" si="16"/>
        <v>10</v>
      </c>
      <c r="W26">
        <f t="shared" si="16"/>
        <v>80</v>
      </c>
      <c r="X26">
        <f t="shared" si="16"/>
        <v>400</v>
      </c>
      <c r="Y26">
        <f t="shared" si="16"/>
        <v>120</v>
      </c>
      <c r="Z26">
        <f t="shared" si="16"/>
        <v>0</v>
      </c>
      <c r="AA26">
        <f t="shared" si="3"/>
        <v>760</v>
      </c>
      <c r="AB26">
        <f t="shared" si="6"/>
        <v>50.666666666666664</v>
      </c>
      <c r="AC26">
        <f t="shared" si="7"/>
        <v>3.8333333333333335</v>
      </c>
    </row>
    <row r="27" spans="1:43" x14ac:dyDescent="0.25">
      <c r="A27" s="1">
        <v>25</v>
      </c>
      <c r="B27" s="1" t="s">
        <v>24</v>
      </c>
      <c r="C27" s="1">
        <v>6</v>
      </c>
      <c r="D27" s="1">
        <v>3</v>
      </c>
      <c r="E27" s="1">
        <v>2</v>
      </c>
      <c r="F27" s="1">
        <v>8</v>
      </c>
      <c r="G27" s="1">
        <v>6</v>
      </c>
      <c r="H27" s="1">
        <v>2</v>
      </c>
      <c r="I27">
        <f t="shared" si="0"/>
        <v>60</v>
      </c>
      <c r="J27">
        <f t="shared" si="20"/>
        <v>30</v>
      </c>
      <c r="K27">
        <f t="shared" si="20"/>
        <v>20</v>
      </c>
      <c r="L27">
        <f t="shared" si="20"/>
        <v>80</v>
      </c>
      <c r="M27">
        <f t="shared" si="20"/>
        <v>60</v>
      </c>
      <c r="N27">
        <f t="shared" si="20"/>
        <v>20</v>
      </c>
      <c r="O27">
        <v>5</v>
      </c>
      <c r="P27">
        <v>2</v>
      </c>
      <c r="Q27">
        <v>3</v>
      </c>
      <c r="R27">
        <v>2</v>
      </c>
      <c r="S27">
        <v>3</v>
      </c>
      <c r="T27">
        <v>0</v>
      </c>
      <c r="U27">
        <f t="shared" si="4"/>
        <v>300</v>
      </c>
      <c r="V27">
        <f t="shared" si="16"/>
        <v>60</v>
      </c>
      <c r="W27">
        <f t="shared" si="16"/>
        <v>60</v>
      </c>
      <c r="X27">
        <f t="shared" si="16"/>
        <v>160</v>
      </c>
      <c r="Y27">
        <f t="shared" si="16"/>
        <v>180</v>
      </c>
      <c r="Z27">
        <f t="shared" si="16"/>
        <v>0</v>
      </c>
      <c r="AA27">
        <f t="shared" si="3"/>
        <v>760</v>
      </c>
      <c r="AB27">
        <f t="shared" si="6"/>
        <v>50.666666666666664</v>
      </c>
      <c r="AC27">
        <f t="shared" si="7"/>
        <v>4.5</v>
      </c>
    </row>
    <row r="28" spans="1:43" x14ac:dyDescent="0.25">
      <c r="A28" s="1">
        <v>26</v>
      </c>
      <c r="B28" s="1" t="s">
        <v>24</v>
      </c>
      <c r="C28" s="1">
        <v>6</v>
      </c>
      <c r="D28" s="1">
        <v>2</v>
      </c>
      <c r="E28" s="1">
        <v>3</v>
      </c>
      <c r="F28" s="1">
        <v>7</v>
      </c>
      <c r="G28" s="1">
        <v>6</v>
      </c>
      <c r="H28" s="1">
        <v>7</v>
      </c>
      <c r="I28">
        <f t="shared" si="0"/>
        <v>60</v>
      </c>
      <c r="J28">
        <f t="shared" si="20"/>
        <v>20</v>
      </c>
      <c r="K28">
        <f t="shared" si="20"/>
        <v>30</v>
      </c>
      <c r="L28">
        <f t="shared" si="20"/>
        <v>70</v>
      </c>
      <c r="M28">
        <f t="shared" si="20"/>
        <v>60</v>
      </c>
      <c r="N28">
        <f t="shared" si="20"/>
        <v>70</v>
      </c>
      <c r="O28">
        <v>2</v>
      </c>
      <c r="P28">
        <v>0</v>
      </c>
      <c r="Q28">
        <v>5</v>
      </c>
      <c r="R28">
        <v>2</v>
      </c>
      <c r="S28">
        <v>2</v>
      </c>
      <c r="T28">
        <v>4</v>
      </c>
      <c r="U28">
        <f t="shared" si="4"/>
        <v>120</v>
      </c>
      <c r="V28">
        <f t="shared" si="16"/>
        <v>0</v>
      </c>
      <c r="W28">
        <f t="shared" si="16"/>
        <v>150</v>
      </c>
      <c r="X28">
        <f t="shared" si="16"/>
        <v>140</v>
      </c>
      <c r="Y28">
        <f t="shared" si="16"/>
        <v>120</v>
      </c>
      <c r="Z28">
        <f t="shared" si="16"/>
        <v>280</v>
      </c>
      <c r="AA28">
        <f t="shared" si="3"/>
        <v>810</v>
      </c>
      <c r="AB28">
        <f t="shared" si="6"/>
        <v>54</v>
      </c>
      <c r="AC28">
        <f t="shared" si="7"/>
        <v>5.166666666666667</v>
      </c>
    </row>
    <row r="29" spans="1:43" x14ac:dyDescent="0.25">
      <c r="A29" s="1">
        <v>27</v>
      </c>
      <c r="B29" s="1" t="s">
        <v>24</v>
      </c>
      <c r="C29" s="1">
        <v>7</v>
      </c>
      <c r="D29" s="1">
        <v>8</v>
      </c>
      <c r="E29" s="1">
        <v>6</v>
      </c>
      <c r="F29" s="1">
        <v>7</v>
      </c>
      <c r="G29" s="1">
        <v>7</v>
      </c>
      <c r="H29" s="1">
        <v>8</v>
      </c>
      <c r="I29">
        <f t="shared" si="0"/>
        <v>70</v>
      </c>
      <c r="J29">
        <f t="shared" si="20"/>
        <v>80</v>
      </c>
      <c r="K29">
        <f t="shared" si="20"/>
        <v>60</v>
      </c>
      <c r="L29">
        <f t="shared" si="20"/>
        <v>70</v>
      </c>
      <c r="M29">
        <f t="shared" si="20"/>
        <v>70</v>
      </c>
      <c r="N29">
        <f t="shared" si="20"/>
        <v>80</v>
      </c>
      <c r="O29">
        <v>5</v>
      </c>
      <c r="P29">
        <v>4</v>
      </c>
      <c r="Q29">
        <v>1</v>
      </c>
      <c r="R29">
        <v>2</v>
      </c>
      <c r="S29">
        <v>3</v>
      </c>
      <c r="T29">
        <v>0</v>
      </c>
      <c r="U29">
        <f t="shared" si="4"/>
        <v>350</v>
      </c>
      <c r="V29">
        <f t="shared" si="16"/>
        <v>320</v>
      </c>
      <c r="W29">
        <f t="shared" si="16"/>
        <v>60</v>
      </c>
      <c r="X29">
        <f t="shared" si="16"/>
        <v>140</v>
      </c>
      <c r="Y29">
        <f t="shared" si="16"/>
        <v>210</v>
      </c>
      <c r="Z29">
        <f t="shared" si="16"/>
        <v>0</v>
      </c>
      <c r="AA29">
        <f t="shared" si="3"/>
        <v>1080</v>
      </c>
      <c r="AB29">
        <f t="shared" si="6"/>
        <v>72</v>
      </c>
      <c r="AC29">
        <f t="shared" si="7"/>
        <v>7.166666666666667</v>
      </c>
    </row>
    <row r="30" spans="1:43" x14ac:dyDescent="0.25">
      <c r="A30" s="1">
        <v>22</v>
      </c>
      <c r="B30" s="1" t="s">
        <v>24</v>
      </c>
      <c r="C30" s="1">
        <v>4</v>
      </c>
      <c r="D30" s="1">
        <v>1</v>
      </c>
      <c r="E30" s="1">
        <v>2</v>
      </c>
      <c r="F30" s="1">
        <v>7</v>
      </c>
      <c r="G30" s="1">
        <v>3</v>
      </c>
      <c r="H30" s="1">
        <v>1</v>
      </c>
      <c r="I30">
        <f t="shared" si="0"/>
        <v>40</v>
      </c>
      <c r="J30">
        <f t="shared" si="20"/>
        <v>10</v>
      </c>
      <c r="K30">
        <f t="shared" si="20"/>
        <v>20</v>
      </c>
      <c r="L30">
        <f t="shared" si="20"/>
        <v>70</v>
      </c>
      <c r="M30">
        <f t="shared" si="20"/>
        <v>30</v>
      </c>
      <c r="N30">
        <f t="shared" si="20"/>
        <v>10</v>
      </c>
      <c r="O30">
        <v>3</v>
      </c>
      <c r="P30">
        <v>1</v>
      </c>
      <c r="Q30">
        <v>2</v>
      </c>
      <c r="R30">
        <v>5</v>
      </c>
      <c r="S30">
        <v>4</v>
      </c>
      <c r="T30">
        <v>0</v>
      </c>
      <c r="U30">
        <f t="shared" si="4"/>
        <v>120</v>
      </c>
      <c r="V30">
        <f t="shared" si="16"/>
        <v>10</v>
      </c>
      <c r="W30">
        <f t="shared" si="16"/>
        <v>40</v>
      </c>
      <c r="X30">
        <f t="shared" si="16"/>
        <v>350</v>
      </c>
      <c r="Y30">
        <f t="shared" si="16"/>
        <v>120</v>
      </c>
      <c r="Z30">
        <f t="shared" si="16"/>
        <v>0</v>
      </c>
      <c r="AA30">
        <f t="shared" si="3"/>
        <v>640</v>
      </c>
      <c r="AB30">
        <f t="shared" si="6"/>
        <v>42.666666666666664</v>
      </c>
      <c r="AC30">
        <f t="shared" si="7"/>
        <v>3</v>
      </c>
    </row>
    <row r="31" spans="1:43" x14ac:dyDescent="0.25">
      <c r="A31" s="1">
        <v>28</v>
      </c>
      <c r="B31" s="1" t="s">
        <v>24</v>
      </c>
      <c r="C31" s="1">
        <v>2</v>
      </c>
      <c r="D31" s="1">
        <v>1</v>
      </c>
      <c r="E31" s="1">
        <v>4</v>
      </c>
      <c r="F31" s="1">
        <v>8</v>
      </c>
      <c r="G31" s="1">
        <v>4</v>
      </c>
      <c r="H31" s="1">
        <v>5</v>
      </c>
      <c r="I31">
        <f t="shared" si="0"/>
        <v>20</v>
      </c>
      <c r="J31">
        <f t="shared" si="20"/>
        <v>10</v>
      </c>
      <c r="K31">
        <f t="shared" si="20"/>
        <v>40</v>
      </c>
      <c r="L31">
        <f t="shared" si="20"/>
        <v>80</v>
      </c>
      <c r="M31">
        <f t="shared" si="20"/>
        <v>40</v>
      </c>
      <c r="N31">
        <f t="shared" si="20"/>
        <v>50</v>
      </c>
      <c r="O31">
        <v>4</v>
      </c>
      <c r="P31">
        <v>0</v>
      </c>
      <c r="Q31">
        <v>2</v>
      </c>
      <c r="R31">
        <v>5</v>
      </c>
      <c r="S31">
        <v>1</v>
      </c>
      <c r="T31">
        <v>3</v>
      </c>
      <c r="U31">
        <f t="shared" si="4"/>
        <v>80</v>
      </c>
      <c r="V31">
        <f t="shared" si="16"/>
        <v>0</v>
      </c>
      <c r="W31">
        <f t="shared" si="16"/>
        <v>80</v>
      </c>
      <c r="X31">
        <f t="shared" si="16"/>
        <v>400</v>
      </c>
      <c r="Y31">
        <f t="shared" si="16"/>
        <v>40</v>
      </c>
      <c r="Z31">
        <f t="shared" si="16"/>
        <v>150</v>
      </c>
      <c r="AA31">
        <f t="shared" si="3"/>
        <v>750</v>
      </c>
      <c r="AB31">
        <f t="shared" si="6"/>
        <v>50</v>
      </c>
      <c r="AC31">
        <f t="shared" si="7"/>
        <v>4</v>
      </c>
    </row>
    <row r="32" spans="1:43" x14ac:dyDescent="0.25">
      <c r="A32" s="1">
        <v>29</v>
      </c>
      <c r="B32" s="1" t="s">
        <v>24</v>
      </c>
      <c r="C32" s="1">
        <v>9</v>
      </c>
      <c r="D32" s="1">
        <v>1</v>
      </c>
      <c r="E32" s="1">
        <v>3</v>
      </c>
      <c r="F32" s="1">
        <v>7</v>
      </c>
      <c r="G32" s="1">
        <v>3</v>
      </c>
      <c r="H32" s="1">
        <v>1</v>
      </c>
      <c r="I32">
        <f t="shared" si="0"/>
        <v>90</v>
      </c>
      <c r="J32">
        <f t="shared" si="20"/>
        <v>10</v>
      </c>
      <c r="K32">
        <f t="shared" si="20"/>
        <v>30</v>
      </c>
      <c r="L32">
        <f t="shared" si="20"/>
        <v>70</v>
      </c>
      <c r="M32">
        <f t="shared" si="20"/>
        <v>30</v>
      </c>
      <c r="N32">
        <f t="shared" si="20"/>
        <v>10</v>
      </c>
      <c r="O32">
        <v>3</v>
      </c>
      <c r="P32">
        <v>0</v>
      </c>
      <c r="Q32">
        <v>5</v>
      </c>
      <c r="R32">
        <v>4</v>
      </c>
      <c r="S32">
        <v>2</v>
      </c>
      <c r="T32">
        <v>1</v>
      </c>
      <c r="U32">
        <f t="shared" si="4"/>
        <v>270</v>
      </c>
      <c r="V32">
        <f t="shared" si="16"/>
        <v>0</v>
      </c>
      <c r="W32">
        <f t="shared" si="16"/>
        <v>150</v>
      </c>
      <c r="X32">
        <f t="shared" si="16"/>
        <v>280</v>
      </c>
      <c r="Y32">
        <f t="shared" si="16"/>
        <v>60</v>
      </c>
      <c r="Z32">
        <f t="shared" si="16"/>
        <v>10</v>
      </c>
      <c r="AA32">
        <f t="shared" si="3"/>
        <v>770</v>
      </c>
      <c r="AB32">
        <f t="shared" si="6"/>
        <v>51.333333333333336</v>
      </c>
      <c r="AC32">
        <f t="shared" si="7"/>
        <v>4</v>
      </c>
    </row>
    <row r="34" spans="1:55" ht="14.5" x14ac:dyDescent="0.25">
      <c r="A34" s="4"/>
      <c r="B34" s="8" t="s">
        <v>74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6"/>
      <c r="P34" s="7"/>
      <c r="Q34" s="6"/>
      <c r="R34" s="7"/>
      <c r="S34" s="6"/>
      <c r="T34" s="7"/>
      <c r="U34" s="5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</row>
    <row r="35" spans="1:55" x14ac:dyDescent="0.25">
      <c r="A35" s="1">
        <v>1</v>
      </c>
      <c r="B35" s="1" t="s">
        <v>27</v>
      </c>
      <c r="C35" s="1">
        <v>8</v>
      </c>
      <c r="D35" s="1">
        <v>6</v>
      </c>
      <c r="E35" s="1">
        <v>4</v>
      </c>
      <c r="F35" s="1">
        <v>9</v>
      </c>
      <c r="G35" s="1">
        <v>9</v>
      </c>
      <c r="H35" s="1">
        <v>1</v>
      </c>
      <c r="I35">
        <f>(C35*100)/10</f>
        <v>80</v>
      </c>
      <c r="J35">
        <f t="shared" ref="J35:N35" si="21">(D35*100)/10</f>
        <v>60</v>
      </c>
      <c r="K35">
        <f t="shared" si="21"/>
        <v>40</v>
      </c>
      <c r="L35">
        <f t="shared" si="21"/>
        <v>90</v>
      </c>
      <c r="M35">
        <f t="shared" si="21"/>
        <v>90</v>
      </c>
      <c r="N35">
        <f t="shared" si="21"/>
        <v>10</v>
      </c>
      <c r="O35">
        <v>3</v>
      </c>
      <c r="P35">
        <v>3</v>
      </c>
      <c r="Q35">
        <v>5</v>
      </c>
      <c r="R35">
        <v>1</v>
      </c>
      <c r="S35">
        <v>3</v>
      </c>
      <c r="T35">
        <v>0</v>
      </c>
      <c r="U35">
        <f>I35*O35</f>
        <v>240</v>
      </c>
      <c r="V35">
        <f t="shared" ref="V35:Z35" si="22">J35*P35</f>
        <v>180</v>
      </c>
      <c r="W35">
        <f t="shared" si="22"/>
        <v>200</v>
      </c>
      <c r="X35">
        <f t="shared" si="22"/>
        <v>90</v>
      </c>
      <c r="Y35">
        <f t="shared" si="22"/>
        <v>270</v>
      </c>
      <c r="Z35">
        <f t="shared" si="22"/>
        <v>0</v>
      </c>
      <c r="AA35">
        <f t="shared" ref="AA35:AA63" si="23">SUM(U35:Z35)</f>
        <v>980</v>
      </c>
      <c r="AB35">
        <f>AA35/15</f>
        <v>65.333333333333329</v>
      </c>
      <c r="AC35">
        <f>AVERAGE(C35:H35)</f>
        <v>6.166666666666667</v>
      </c>
    </row>
    <row r="36" spans="1:55" x14ac:dyDescent="0.25">
      <c r="A36" s="1">
        <v>2</v>
      </c>
      <c r="B36" s="1" t="s">
        <v>27</v>
      </c>
      <c r="C36" s="1">
        <v>2</v>
      </c>
      <c r="D36" s="1">
        <v>2</v>
      </c>
      <c r="E36" s="1">
        <v>4</v>
      </c>
      <c r="F36" s="1">
        <v>9</v>
      </c>
      <c r="G36" s="1">
        <v>2</v>
      </c>
      <c r="H36" s="1">
        <v>1</v>
      </c>
      <c r="I36">
        <f t="shared" ref="I36:I63" si="24">(C36*100)/10</f>
        <v>20</v>
      </c>
      <c r="J36">
        <f t="shared" ref="J36:J63" si="25">(D36*100)/10</f>
        <v>20</v>
      </c>
      <c r="K36">
        <f t="shared" ref="K36:K63" si="26">(E36*100)/10</f>
        <v>40</v>
      </c>
      <c r="L36">
        <f t="shared" ref="L36:L63" si="27">(F36*100)/10</f>
        <v>90</v>
      </c>
      <c r="M36">
        <f t="shared" ref="M36:M63" si="28">(G36*100)/10</f>
        <v>20</v>
      </c>
      <c r="N36">
        <f t="shared" ref="N36:N63" si="29">(H36*100)/10</f>
        <v>10</v>
      </c>
      <c r="O36">
        <v>1</v>
      </c>
      <c r="P36">
        <v>4</v>
      </c>
      <c r="Q36">
        <v>5</v>
      </c>
      <c r="R36">
        <v>2</v>
      </c>
      <c r="S36">
        <v>3</v>
      </c>
      <c r="T36">
        <v>0</v>
      </c>
      <c r="U36">
        <f t="shared" ref="U36:U63" si="30">I36*O36</f>
        <v>20</v>
      </c>
      <c r="V36">
        <f t="shared" ref="V36:V63" si="31">J36*P36</f>
        <v>80</v>
      </c>
      <c r="W36">
        <f t="shared" ref="W36:W63" si="32">K36*Q36</f>
        <v>200</v>
      </c>
      <c r="X36">
        <f t="shared" ref="X36:X63" si="33">L36*R36</f>
        <v>180</v>
      </c>
      <c r="Y36">
        <f t="shared" ref="Y36:Y63" si="34">M36*S36</f>
        <v>60</v>
      </c>
      <c r="Z36">
        <f t="shared" ref="Z36:Z63" si="35">N36*T36</f>
        <v>0</v>
      </c>
      <c r="AA36">
        <f t="shared" si="23"/>
        <v>540</v>
      </c>
      <c r="AB36">
        <f t="shared" ref="AB36:AB63" si="36">AA36/15</f>
        <v>36</v>
      </c>
      <c r="AC36">
        <f t="shared" ref="AC36:AC63" si="37">AVERAGE(C36:H36)</f>
        <v>3.3333333333333335</v>
      </c>
    </row>
    <row r="37" spans="1:55" x14ac:dyDescent="0.25">
      <c r="A37" s="1">
        <v>3</v>
      </c>
      <c r="B37" s="1" t="s">
        <v>27</v>
      </c>
      <c r="C37" s="1">
        <v>9</v>
      </c>
      <c r="D37" s="1">
        <v>8</v>
      </c>
      <c r="E37" s="1">
        <v>7</v>
      </c>
      <c r="F37" s="1">
        <v>5</v>
      </c>
      <c r="G37" s="1">
        <v>7</v>
      </c>
      <c r="H37" s="1">
        <v>3</v>
      </c>
      <c r="I37">
        <f t="shared" si="24"/>
        <v>90</v>
      </c>
      <c r="J37">
        <f t="shared" si="25"/>
        <v>80</v>
      </c>
      <c r="K37">
        <f t="shared" si="26"/>
        <v>70</v>
      </c>
      <c r="L37">
        <f t="shared" si="27"/>
        <v>50</v>
      </c>
      <c r="M37">
        <f t="shared" si="28"/>
        <v>70</v>
      </c>
      <c r="N37">
        <f t="shared" si="29"/>
        <v>30</v>
      </c>
      <c r="O37">
        <v>5</v>
      </c>
      <c r="P37">
        <v>2</v>
      </c>
      <c r="Q37">
        <v>1</v>
      </c>
      <c r="R37">
        <v>2</v>
      </c>
      <c r="S37">
        <v>4</v>
      </c>
      <c r="T37">
        <v>1</v>
      </c>
      <c r="U37">
        <f t="shared" si="30"/>
        <v>450</v>
      </c>
      <c r="V37">
        <f t="shared" si="31"/>
        <v>160</v>
      </c>
      <c r="W37">
        <f t="shared" si="32"/>
        <v>70</v>
      </c>
      <c r="X37">
        <f t="shared" si="33"/>
        <v>100</v>
      </c>
      <c r="Y37">
        <f t="shared" si="34"/>
        <v>280</v>
      </c>
      <c r="Z37">
        <f t="shared" si="35"/>
        <v>30</v>
      </c>
      <c r="AA37">
        <f t="shared" si="23"/>
        <v>1090</v>
      </c>
      <c r="AB37">
        <f t="shared" si="36"/>
        <v>72.666666666666671</v>
      </c>
      <c r="AC37">
        <f t="shared" si="37"/>
        <v>6.5</v>
      </c>
    </row>
    <row r="38" spans="1:55" x14ac:dyDescent="0.25">
      <c r="A38" s="1">
        <v>4</v>
      </c>
      <c r="B38" s="1" t="s">
        <v>27</v>
      </c>
      <c r="C38" s="1">
        <v>8</v>
      </c>
      <c r="D38" s="1">
        <v>4</v>
      </c>
      <c r="E38" s="1">
        <v>3</v>
      </c>
      <c r="F38" s="1">
        <v>8</v>
      </c>
      <c r="G38" s="1">
        <v>9</v>
      </c>
      <c r="H38" s="1">
        <v>3</v>
      </c>
      <c r="I38">
        <f t="shared" si="24"/>
        <v>80</v>
      </c>
      <c r="J38">
        <f t="shared" si="25"/>
        <v>40</v>
      </c>
      <c r="K38">
        <f t="shared" si="26"/>
        <v>30</v>
      </c>
      <c r="L38">
        <f t="shared" si="27"/>
        <v>80</v>
      </c>
      <c r="M38">
        <f t="shared" si="28"/>
        <v>90</v>
      </c>
      <c r="N38">
        <f t="shared" si="29"/>
        <v>30</v>
      </c>
      <c r="O38">
        <v>5</v>
      </c>
      <c r="P38">
        <v>1</v>
      </c>
      <c r="Q38">
        <v>2</v>
      </c>
      <c r="R38">
        <v>3</v>
      </c>
      <c r="S38">
        <v>4</v>
      </c>
      <c r="T38">
        <v>0</v>
      </c>
      <c r="U38">
        <f t="shared" si="30"/>
        <v>400</v>
      </c>
      <c r="V38">
        <f t="shared" si="31"/>
        <v>40</v>
      </c>
      <c r="W38">
        <f t="shared" si="32"/>
        <v>60</v>
      </c>
      <c r="X38">
        <f t="shared" si="33"/>
        <v>240</v>
      </c>
      <c r="Y38">
        <f t="shared" si="34"/>
        <v>360</v>
      </c>
      <c r="Z38">
        <f t="shared" si="35"/>
        <v>0</v>
      </c>
      <c r="AA38">
        <f t="shared" si="23"/>
        <v>1100</v>
      </c>
      <c r="AB38">
        <f t="shared" si="36"/>
        <v>73.333333333333329</v>
      </c>
      <c r="AC38">
        <f t="shared" si="37"/>
        <v>5.833333333333333</v>
      </c>
    </row>
    <row r="39" spans="1:55" x14ac:dyDescent="0.25">
      <c r="A39" s="1">
        <v>5</v>
      </c>
      <c r="B39" s="1" t="s">
        <v>27</v>
      </c>
      <c r="C39" s="1">
        <v>8</v>
      </c>
      <c r="D39" s="1">
        <v>3</v>
      </c>
      <c r="E39" s="1">
        <v>5</v>
      </c>
      <c r="F39" s="1">
        <v>9</v>
      </c>
      <c r="G39" s="1">
        <v>8</v>
      </c>
      <c r="H39" s="1">
        <v>1</v>
      </c>
      <c r="I39">
        <f t="shared" si="24"/>
        <v>80</v>
      </c>
      <c r="J39">
        <f t="shared" si="25"/>
        <v>30</v>
      </c>
      <c r="K39">
        <f t="shared" si="26"/>
        <v>50</v>
      </c>
      <c r="L39">
        <f t="shared" si="27"/>
        <v>90</v>
      </c>
      <c r="M39">
        <f t="shared" si="28"/>
        <v>80</v>
      </c>
      <c r="N39">
        <f t="shared" si="29"/>
        <v>10</v>
      </c>
      <c r="O39">
        <v>5</v>
      </c>
      <c r="P39">
        <v>2</v>
      </c>
      <c r="Q39">
        <v>2</v>
      </c>
      <c r="R39">
        <v>2</v>
      </c>
      <c r="S39">
        <v>4</v>
      </c>
      <c r="T39">
        <v>0</v>
      </c>
      <c r="U39">
        <f t="shared" si="30"/>
        <v>400</v>
      </c>
      <c r="V39">
        <f t="shared" si="31"/>
        <v>60</v>
      </c>
      <c r="W39">
        <f t="shared" si="32"/>
        <v>100</v>
      </c>
      <c r="X39">
        <f t="shared" si="33"/>
        <v>180</v>
      </c>
      <c r="Y39">
        <f t="shared" si="34"/>
        <v>320</v>
      </c>
      <c r="Z39">
        <f t="shared" si="35"/>
        <v>0</v>
      </c>
      <c r="AA39">
        <f t="shared" si="23"/>
        <v>1060</v>
      </c>
      <c r="AB39">
        <f t="shared" si="36"/>
        <v>70.666666666666671</v>
      </c>
      <c r="AC39">
        <f t="shared" si="37"/>
        <v>5.666666666666667</v>
      </c>
    </row>
    <row r="40" spans="1:55" x14ac:dyDescent="0.25">
      <c r="A40" s="1">
        <v>6</v>
      </c>
      <c r="B40" s="1" t="s">
        <v>27</v>
      </c>
      <c r="C40" s="1">
        <v>9</v>
      </c>
      <c r="D40" s="1">
        <v>7</v>
      </c>
      <c r="E40" s="1">
        <v>2</v>
      </c>
      <c r="F40" s="1">
        <v>5</v>
      </c>
      <c r="G40" s="1">
        <v>8</v>
      </c>
      <c r="H40" s="1">
        <v>5</v>
      </c>
      <c r="I40">
        <f t="shared" si="24"/>
        <v>90</v>
      </c>
      <c r="J40">
        <f t="shared" si="25"/>
        <v>70</v>
      </c>
      <c r="K40">
        <f t="shared" si="26"/>
        <v>20</v>
      </c>
      <c r="L40">
        <f t="shared" si="27"/>
        <v>50</v>
      </c>
      <c r="M40">
        <f t="shared" si="28"/>
        <v>80</v>
      </c>
      <c r="N40">
        <f t="shared" si="29"/>
        <v>50</v>
      </c>
      <c r="O40">
        <v>4</v>
      </c>
      <c r="P40">
        <v>4</v>
      </c>
      <c r="Q40">
        <v>1</v>
      </c>
      <c r="R40">
        <v>2</v>
      </c>
      <c r="S40">
        <v>4</v>
      </c>
      <c r="T40">
        <v>0</v>
      </c>
      <c r="U40">
        <f t="shared" si="30"/>
        <v>360</v>
      </c>
      <c r="V40">
        <f t="shared" si="31"/>
        <v>280</v>
      </c>
      <c r="W40">
        <f t="shared" si="32"/>
        <v>20</v>
      </c>
      <c r="X40">
        <f t="shared" si="33"/>
        <v>100</v>
      </c>
      <c r="Y40">
        <f t="shared" si="34"/>
        <v>320</v>
      </c>
      <c r="Z40">
        <f t="shared" si="35"/>
        <v>0</v>
      </c>
      <c r="AA40">
        <f t="shared" si="23"/>
        <v>1080</v>
      </c>
      <c r="AB40">
        <f t="shared" si="36"/>
        <v>72</v>
      </c>
      <c r="AC40">
        <f t="shared" si="37"/>
        <v>6</v>
      </c>
    </row>
    <row r="41" spans="1:55" x14ac:dyDescent="0.25">
      <c r="A41" s="1">
        <v>7</v>
      </c>
      <c r="B41" s="1" t="s">
        <v>27</v>
      </c>
      <c r="C41" s="1">
        <v>2</v>
      </c>
      <c r="D41" s="1">
        <v>1</v>
      </c>
      <c r="E41" s="1">
        <v>1</v>
      </c>
      <c r="F41" s="1">
        <v>10</v>
      </c>
      <c r="G41" s="1">
        <v>1</v>
      </c>
      <c r="H41" s="1">
        <v>1</v>
      </c>
      <c r="I41">
        <f t="shared" si="24"/>
        <v>20</v>
      </c>
      <c r="J41">
        <f t="shared" si="25"/>
        <v>10</v>
      </c>
      <c r="K41">
        <f t="shared" si="26"/>
        <v>10</v>
      </c>
      <c r="L41">
        <f t="shared" si="27"/>
        <v>100</v>
      </c>
      <c r="M41">
        <f t="shared" si="28"/>
        <v>10</v>
      </c>
      <c r="N41">
        <f t="shared" si="29"/>
        <v>10</v>
      </c>
      <c r="O41">
        <v>5</v>
      </c>
      <c r="P41">
        <v>1</v>
      </c>
      <c r="Q41">
        <v>1</v>
      </c>
      <c r="R41">
        <v>3</v>
      </c>
      <c r="S41">
        <v>3</v>
      </c>
      <c r="T41">
        <v>2</v>
      </c>
      <c r="U41">
        <f t="shared" si="30"/>
        <v>100</v>
      </c>
      <c r="V41">
        <f t="shared" si="31"/>
        <v>10</v>
      </c>
      <c r="W41">
        <f t="shared" si="32"/>
        <v>10</v>
      </c>
      <c r="X41">
        <f t="shared" si="33"/>
        <v>300</v>
      </c>
      <c r="Y41">
        <f t="shared" si="34"/>
        <v>30</v>
      </c>
      <c r="Z41">
        <f t="shared" si="35"/>
        <v>20</v>
      </c>
      <c r="AA41">
        <f t="shared" si="23"/>
        <v>470</v>
      </c>
      <c r="AB41">
        <f t="shared" si="36"/>
        <v>31.333333333333332</v>
      </c>
      <c r="AC41">
        <f t="shared" si="37"/>
        <v>2.6666666666666665</v>
      </c>
    </row>
    <row r="42" spans="1:55" x14ac:dyDescent="0.25">
      <c r="A42" s="1">
        <v>8</v>
      </c>
      <c r="B42" s="1" t="s">
        <v>27</v>
      </c>
      <c r="C42" s="1">
        <v>6</v>
      </c>
      <c r="D42" s="1">
        <v>1</v>
      </c>
      <c r="E42" s="1">
        <v>4</v>
      </c>
      <c r="F42" s="1">
        <v>6</v>
      </c>
      <c r="G42" s="1">
        <v>7</v>
      </c>
      <c r="H42" s="1">
        <v>6</v>
      </c>
      <c r="I42">
        <f t="shared" si="24"/>
        <v>60</v>
      </c>
      <c r="J42">
        <f t="shared" si="25"/>
        <v>10</v>
      </c>
      <c r="K42">
        <f t="shared" si="26"/>
        <v>40</v>
      </c>
      <c r="L42">
        <f t="shared" si="27"/>
        <v>60</v>
      </c>
      <c r="M42">
        <f t="shared" si="28"/>
        <v>70</v>
      </c>
      <c r="N42">
        <f t="shared" si="29"/>
        <v>60</v>
      </c>
      <c r="O42">
        <v>4</v>
      </c>
      <c r="P42">
        <v>0</v>
      </c>
      <c r="Q42">
        <v>5</v>
      </c>
      <c r="R42">
        <v>3</v>
      </c>
      <c r="S42">
        <v>2</v>
      </c>
      <c r="T42">
        <v>1</v>
      </c>
      <c r="U42">
        <f t="shared" si="30"/>
        <v>240</v>
      </c>
      <c r="V42">
        <f t="shared" si="31"/>
        <v>0</v>
      </c>
      <c r="W42">
        <f t="shared" si="32"/>
        <v>200</v>
      </c>
      <c r="X42">
        <f t="shared" si="33"/>
        <v>180</v>
      </c>
      <c r="Y42">
        <f t="shared" si="34"/>
        <v>140</v>
      </c>
      <c r="Z42">
        <f t="shared" si="35"/>
        <v>60</v>
      </c>
      <c r="AA42">
        <f t="shared" si="23"/>
        <v>820</v>
      </c>
      <c r="AB42">
        <f t="shared" si="36"/>
        <v>54.666666666666664</v>
      </c>
      <c r="AC42">
        <f t="shared" si="37"/>
        <v>5</v>
      </c>
    </row>
    <row r="43" spans="1:55" x14ac:dyDescent="0.25">
      <c r="A43" s="1">
        <v>9</v>
      </c>
      <c r="B43" s="1" t="s">
        <v>27</v>
      </c>
      <c r="C43" s="1">
        <v>8</v>
      </c>
      <c r="D43" s="1">
        <v>3</v>
      </c>
      <c r="E43" s="1">
        <v>5</v>
      </c>
      <c r="F43" s="1">
        <v>8</v>
      </c>
      <c r="G43" s="1">
        <v>6</v>
      </c>
      <c r="H43" s="1">
        <v>3</v>
      </c>
      <c r="I43">
        <f t="shared" si="24"/>
        <v>80</v>
      </c>
      <c r="J43">
        <f t="shared" si="25"/>
        <v>30</v>
      </c>
      <c r="K43">
        <f t="shared" si="26"/>
        <v>50</v>
      </c>
      <c r="L43">
        <f t="shared" si="27"/>
        <v>80</v>
      </c>
      <c r="M43">
        <f t="shared" si="28"/>
        <v>60</v>
      </c>
      <c r="N43">
        <f t="shared" si="29"/>
        <v>30</v>
      </c>
      <c r="O43">
        <v>5</v>
      </c>
      <c r="P43">
        <v>0</v>
      </c>
      <c r="Q43">
        <v>1</v>
      </c>
      <c r="R43">
        <v>3</v>
      </c>
      <c r="S43">
        <v>4</v>
      </c>
      <c r="T43">
        <v>2</v>
      </c>
      <c r="U43">
        <f t="shared" si="30"/>
        <v>400</v>
      </c>
      <c r="V43">
        <f t="shared" si="31"/>
        <v>0</v>
      </c>
      <c r="W43">
        <f t="shared" si="32"/>
        <v>50</v>
      </c>
      <c r="X43">
        <f t="shared" si="33"/>
        <v>240</v>
      </c>
      <c r="Y43">
        <f t="shared" si="34"/>
        <v>240</v>
      </c>
      <c r="Z43">
        <f t="shared" si="35"/>
        <v>60</v>
      </c>
      <c r="AA43">
        <f t="shared" si="23"/>
        <v>990</v>
      </c>
      <c r="AB43">
        <f t="shared" si="36"/>
        <v>66</v>
      </c>
      <c r="AC43">
        <f t="shared" si="37"/>
        <v>5.5</v>
      </c>
    </row>
    <row r="44" spans="1:55" x14ac:dyDescent="0.25">
      <c r="A44" s="1">
        <v>10</v>
      </c>
      <c r="B44" s="1" t="s">
        <v>27</v>
      </c>
      <c r="C44" s="1">
        <v>7</v>
      </c>
      <c r="D44" s="1">
        <v>3</v>
      </c>
      <c r="E44" s="1">
        <v>7</v>
      </c>
      <c r="F44" s="1">
        <v>9</v>
      </c>
      <c r="G44" s="1">
        <v>6</v>
      </c>
      <c r="H44" s="1">
        <v>1</v>
      </c>
      <c r="I44">
        <f t="shared" si="24"/>
        <v>70</v>
      </c>
      <c r="J44">
        <f t="shared" si="25"/>
        <v>30</v>
      </c>
      <c r="K44">
        <f t="shared" si="26"/>
        <v>70</v>
      </c>
      <c r="L44">
        <f t="shared" si="27"/>
        <v>90</v>
      </c>
      <c r="M44">
        <f t="shared" si="28"/>
        <v>60</v>
      </c>
      <c r="N44">
        <f t="shared" si="29"/>
        <v>10</v>
      </c>
      <c r="O44">
        <v>5</v>
      </c>
      <c r="P44">
        <v>2</v>
      </c>
      <c r="Q44">
        <v>4</v>
      </c>
      <c r="R44">
        <v>1</v>
      </c>
      <c r="S44">
        <v>3</v>
      </c>
      <c r="T44">
        <v>0</v>
      </c>
      <c r="U44">
        <f t="shared" si="30"/>
        <v>350</v>
      </c>
      <c r="V44">
        <f t="shared" si="31"/>
        <v>60</v>
      </c>
      <c r="W44">
        <f t="shared" si="32"/>
        <v>280</v>
      </c>
      <c r="X44">
        <f t="shared" si="33"/>
        <v>90</v>
      </c>
      <c r="Y44">
        <f t="shared" si="34"/>
        <v>180</v>
      </c>
      <c r="Z44">
        <f t="shared" si="35"/>
        <v>0</v>
      </c>
      <c r="AA44">
        <f t="shared" si="23"/>
        <v>960</v>
      </c>
      <c r="AB44">
        <f t="shared" si="36"/>
        <v>64</v>
      </c>
      <c r="AC44">
        <f t="shared" si="37"/>
        <v>5.5</v>
      </c>
    </row>
    <row r="45" spans="1:55" x14ac:dyDescent="0.25">
      <c r="A45" s="1">
        <v>11</v>
      </c>
      <c r="B45" s="1" t="s">
        <v>27</v>
      </c>
      <c r="C45" s="1">
        <v>10</v>
      </c>
      <c r="D45" s="1">
        <v>5</v>
      </c>
      <c r="E45" s="1">
        <v>8</v>
      </c>
      <c r="F45" s="1">
        <v>8</v>
      </c>
      <c r="G45" s="1">
        <v>9</v>
      </c>
      <c r="H45" s="1">
        <v>7</v>
      </c>
      <c r="I45">
        <f t="shared" si="24"/>
        <v>100</v>
      </c>
      <c r="J45">
        <f t="shared" si="25"/>
        <v>50</v>
      </c>
      <c r="K45">
        <f t="shared" si="26"/>
        <v>80</v>
      </c>
      <c r="L45">
        <f t="shared" si="27"/>
        <v>80</v>
      </c>
      <c r="M45">
        <f t="shared" si="28"/>
        <v>90</v>
      </c>
      <c r="N45">
        <f t="shared" si="29"/>
        <v>70</v>
      </c>
      <c r="O45">
        <v>4</v>
      </c>
      <c r="P45">
        <v>0</v>
      </c>
      <c r="Q45">
        <v>4</v>
      </c>
      <c r="R45">
        <v>2</v>
      </c>
      <c r="S45">
        <v>4</v>
      </c>
      <c r="T45">
        <v>1</v>
      </c>
      <c r="U45">
        <f t="shared" si="30"/>
        <v>400</v>
      </c>
      <c r="V45">
        <f t="shared" si="31"/>
        <v>0</v>
      </c>
      <c r="W45">
        <f t="shared" si="32"/>
        <v>320</v>
      </c>
      <c r="X45">
        <f t="shared" si="33"/>
        <v>160</v>
      </c>
      <c r="Y45">
        <f t="shared" si="34"/>
        <v>360</v>
      </c>
      <c r="Z45">
        <f t="shared" si="35"/>
        <v>70</v>
      </c>
      <c r="AA45">
        <f t="shared" si="23"/>
        <v>1310</v>
      </c>
      <c r="AB45">
        <f t="shared" si="36"/>
        <v>87.333333333333329</v>
      </c>
      <c r="AC45">
        <f t="shared" si="37"/>
        <v>7.833333333333333</v>
      </c>
    </row>
    <row r="46" spans="1:55" x14ac:dyDescent="0.25">
      <c r="A46" s="1">
        <v>12</v>
      </c>
      <c r="B46" s="1" t="s">
        <v>27</v>
      </c>
      <c r="C46" s="1">
        <v>6</v>
      </c>
      <c r="D46" s="1">
        <v>2</v>
      </c>
      <c r="E46" s="1">
        <v>5</v>
      </c>
      <c r="F46" s="1">
        <v>5</v>
      </c>
      <c r="G46" s="1">
        <v>6</v>
      </c>
      <c r="H46" s="1">
        <v>3</v>
      </c>
      <c r="I46">
        <f t="shared" si="24"/>
        <v>60</v>
      </c>
      <c r="J46">
        <f t="shared" si="25"/>
        <v>20</v>
      </c>
      <c r="K46">
        <f t="shared" si="26"/>
        <v>50</v>
      </c>
      <c r="L46">
        <f t="shared" si="27"/>
        <v>50</v>
      </c>
      <c r="M46">
        <f t="shared" si="28"/>
        <v>60</v>
      </c>
      <c r="N46">
        <f t="shared" si="29"/>
        <v>30</v>
      </c>
      <c r="O46">
        <v>4</v>
      </c>
      <c r="P46">
        <v>0</v>
      </c>
      <c r="Q46">
        <v>1</v>
      </c>
      <c r="R46">
        <v>4</v>
      </c>
      <c r="S46">
        <v>4</v>
      </c>
      <c r="T46">
        <v>2</v>
      </c>
      <c r="U46">
        <f t="shared" si="30"/>
        <v>240</v>
      </c>
      <c r="V46">
        <f t="shared" si="31"/>
        <v>0</v>
      </c>
      <c r="W46">
        <f t="shared" si="32"/>
        <v>50</v>
      </c>
      <c r="X46">
        <f t="shared" si="33"/>
        <v>200</v>
      </c>
      <c r="Y46">
        <f t="shared" si="34"/>
        <v>240</v>
      </c>
      <c r="Z46">
        <f t="shared" si="35"/>
        <v>60</v>
      </c>
      <c r="AA46">
        <f t="shared" si="23"/>
        <v>790</v>
      </c>
      <c r="AB46">
        <f t="shared" si="36"/>
        <v>52.666666666666664</v>
      </c>
      <c r="AC46">
        <f t="shared" si="37"/>
        <v>4.5</v>
      </c>
    </row>
    <row r="47" spans="1:55" x14ac:dyDescent="0.25">
      <c r="A47" s="1">
        <v>13</v>
      </c>
      <c r="B47" s="1" t="s">
        <v>27</v>
      </c>
      <c r="C47" s="1">
        <v>10</v>
      </c>
      <c r="D47" s="1">
        <v>1</v>
      </c>
      <c r="E47" s="1">
        <v>8</v>
      </c>
      <c r="F47" s="1">
        <v>7</v>
      </c>
      <c r="G47" s="1">
        <v>7</v>
      </c>
      <c r="H47" s="1">
        <v>8</v>
      </c>
      <c r="I47">
        <f t="shared" si="24"/>
        <v>100</v>
      </c>
      <c r="J47">
        <f t="shared" si="25"/>
        <v>10</v>
      </c>
      <c r="K47">
        <f t="shared" si="26"/>
        <v>80</v>
      </c>
      <c r="L47">
        <f t="shared" si="27"/>
        <v>70</v>
      </c>
      <c r="M47">
        <f t="shared" si="28"/>
        <v>70</v>
      </c>
      <c r="N47">
        <f t="shared" si="29"/>
        <v>80</v>
      </c>
      <c r="O47">
        <v>3</v>
      </c>
      <c r="P47">
        <v>2</v>
      </c>
      <c r="Q47">
        <v>4</v>
      </c>
      <c r="R47">
        <v>0</v>
      </c>
      <c r="S47">
        <v>3</v>
      </c>
      <c r="T47">
        <v>3</v>
      </c>
      <c r="U47">
        <f t="shared" si="30"/>
        <v>300</v>
      </c>
      <c r="V47">
        <f t="shared" si="31"/>
        <v>20</v>
      </c>
      <c r="W47">
        <f t="shared" si="32"/>
        <v>320</v>
      </c>
      <c r="X47">
        <f t="shared" si="33"/>
        <v>0</v>
      </c>
      <c r="Y47">
        <f t="shared" si="34"/>
        <v>210</v>
      </c>
      <c r="Z47">
        <f t="shared" si="35"/>
        <v>240</v>
      </c>
      <c r="AA47">
        <f t="shared" si="23"/>
        <v>1090</v>
      </c>
      <c r="AB47">
        <f t="shared" si="36"/>
        <v>72.666666666666671</v>
      </c>
      <c r="AC47">
        <f t="shared" si="37"/>
        <v>6.833333333333333</v>
      </c>
    </row>
    <row r="48" spans="1:55" x14ac:dyDescent="0.25">
      <c r="A48" s="1">
        <v>14</v>
      </c>
      <c r="B48" s="1" t="s">
        <v>27</v>
      </c>
      <c r="C48" s="1">
        <v>5</v>
      </c>
      <c r="D48" s="1">
        <v>1</v>
      </c>
      <c r="E48" s="1">
        <v>5</v>
      </c>
      <c r="F48" s="1">
        <v>4</v>
      </c>
      <c r="G48" s="1">
        <v>6</v>
      </c>
      <c r="H48" s="1">
        <v>7</v>
      </c>
      <c r="I48">
        <f t="shared" si="24"/>
        <v>50</v>
      </c>
      <c r="J48">
        <f t="shared" si="25"/>
        <v>10</v>
      </c>
      <c r="K48">
        <f t="shared" si="26"/>
        <v>50</v>
      </c>
      <c r="L48">
        <f t="shared" si="27"/>
        <v>40</v>
      </c>
      <c r="M48">
        <f t="shared" si="28"/>
        <v>60</v>
      </c>
      <c r="N48">
        <f t="shared" si="29"/>
        <v>70</v>
      </c>
      <c r="O48">
        <v>3</v>
      </c>
      <c r="P48">
        <v>1</v>
      </c>
      <c r="Q48">
        <v>2</v>
      </c>
      <c r="R48">
        <v>1</v>
      </c>
      <c r="S48">
        <v>3</v>
      </c>
      <c r="T48">
        <v>5</v>
      </c>
      <c r="U48">
        <f t="shared" si="30"/>
        <v>150</v>
      </c>
      <c r="V48">
        <f t="shared" si="31"/>
        <v>10</v>
      </c>
      <c r="W48">
        <f t="shared" si="32"/>
        <v>100</v>
      </c>
      <c r="X48">
        <f t="shared" si="33"/>
        <v>40</v>
      </c>
      <c r="Y48">
        <f t="shared" si="34"/>
        <v>180</v>
      </c>
      <c r="Z48">
        <f t="shared" si="35"/>
        <v>350</v>
      </c>
      <c r="AA48">
        <f t="shared" si="23"/>
        <v>830</v>
      </c>
      <c r="AB48">
        <f t="shared" si="36"/>
        <v>55.333333333333336</v>
      </c>
      <c r="AC48">
        <f t="shared" si="37"/>
        <v>4.666666666666667</v>
      </c>
    </row>
    <row r="49" spans="1:29" x14ac:dyDescent="0.25">
      <c r="A49" s="1">
        <v>15</v>
      </c>
      <c r="B49" s="1" t="s">
        <v>27</v>
      </c>
      <c r="C49" s="1">
        <v>5</v>
      </c>
      <c r="D49" s="1">
        <v>6</v>
      </c>
      <c r="E49" s="1">
        <v>1</v>
      </c>
      <c r="F49" s="1">
        <v>5</v>
      </c>
      <c r="G49" s="1">
        <v>5</v>
      </c>
      <c r="H49" s="1">
        <v>7</v>
      </c>
      <c r="I49">
        <f t="shared" si="24"/>
        <v>50</v>
      </c>
      <c r="J49">
        <f t="shared" si="25"/>
        <v>60</v>
      </c>
      <c r="K49">
        <f t="shared" si="26"/>
        <v>10</v>
      </c>
      <c r="L49">
        <f t="shared" si="27"/>
        <v>50</v>
      </c>
      <c r="M49">
        <f t="shared" si="28"/>
        <v>50</v>
      </c>
      <c r="N49">
        <f t="shared" si="29"/>
        <v>70</v>
      </c>
      <c r="O49">
        <v>0</v>
      </c>
      <c r="P49">
        <v>4</v>
      </c>
      <c r="Q49">
        <v>5</v>
      </c>
      <c r="R49">
        <v>2</v>
      </c>
      <c r="S49">
        <v>3</v>
      </c>
      <c r="T49">
        <v>1</v>
      </c>
      <c r="U49">
        <f t="shared" si="30"/>
        <v>0</v>
      </c>
      <c r="V49">
        <f t="shared" si="31"/>
        <v>240</v>
      </c>
      <c r="W49">
        <f t="shared" si="32"/>
        <v>50</v>
      </c>
      <c r="X49">
        <f t="shared" si="33"/>
        <v>100</v>
      </c>
      <c r="Y49">
        <f t="shared" si="34"/>
        <v>150</v>
      </c>
      <c r="Z49">
        <f t="shared" si="35"/>
        <v>70</v>
      </c>
      <c r="AA49">
        <f t="shared" si="23"/>
        <v>610</v>
      </c>
      <c r="AB49">
        <f t="shared" si="36"/>
        <v>40.666666666666664</v>
      </c>
      <c r="AC49">
        <f t="shared" si="37"/>
        <v>4.833333333333333</v>
      </c>
    </row>
    <row r="50" spans="1:29" x14ac:dyDescent="0.25">
      <c r="A50" s="1">
        <v>16</v>
      </c>
      <c r="B50" s="1" t="s">
        <v>27</v>
      </c>
      <c r="C50" s="1">
        <v>8</v>
      </c>
      <c r="D50" s="1">
        <v>6</v>
      </c>
      <c r="E50" s="1">
        <v>3</v>
      </c>
      <c r="F50" s="1">
        <v>5</v>
      </c>
      <c r="G50" s="1">
        <v>5</v>
      </c>
      <c r="H50" s="1">
        <v>1</v>
      </c>
      <c r="I50">
        <f t="shared" si="24"/>
        <v>80</v>
      </c>
      <c r="J50">
        <f t="shared" si="25"/>
        <v>60</v>
      </c>
      <c r="K50">
        <f t="shared" si="26"/>
        <v>30</v>
      </c>
      <c r="L50">
        <f t="shared" si="27"/>
        <v>50</v>
      </c>
      <c r="M50">
        <f t="shared" si="28"/>
        <v>50</v>
      </c>
      <c r="N50">
        <f t="shared" si="29"/>
        <v>10</v>
      </c>
      <c r="O50">
        <v>4</v>
      </c>
      <c r="P50">
        <v>3</v>
      </c>
      <c r="Q50">
        <v>0</v>
      </c>
      <c r="R50">
        <v>2</v>
      </c>
      <c r="S50">
        <v>5</v>
      </c>
      <c r="T50">
        <v>1</v>
      </c>
      <c r="U50">
        <f t="shared" si="30"/>
        <v>320</v>
      </c>
      <c r="V50">
        <f t="shared" si="31"/>
        <v>180</v>
      </c>
      <c r="W50">
        <f t="shared" si="32"/>
        <v>0</v>
      </c>
      <c r="X50">
        <f t="shared" si="33"/>
        <v>100</v>
      </c>
      <c r="Y50">
        <f t="shared" si="34"/>
        <v>250</v>
      </c>
      <c r="Z50">
        <f t="shared" si="35"/>
        <v>10</v>
      </c>
      <c r="AA50">
        <f t="shared" si="23"/>
        <v>860</v>
      </c>
      <c r="AB50">
        <f t="shared" si="36"/>
        <v>57.333333333333336</v>
      </c>
      <c r="AC50">
        <f t="shared" si="37"/>
        <v>4.666666666666667</v>
      </c>
    </row>
    <row r="51" spans="1:29" x14ac:dyDescent="0.25">
      <c r="A51" s="1">
        <v>17</v>
      </c>
      <c r="B51" s="1" t="s">
        <v>27</v>
      </c>
      <c r="C51" s="1">
        <v>7</v>
      </c>
      <c r="D51" s="1">
        <v>1</v>
      </c>
      <c r="E51" s="1">
        <v>5</v>
      </c>
      <c r="F51" s="1">
        <v>7</v>
      </c>
      <c r="G51" s="1">
        <v>2</v>
      </c>
      <c r="H51" s="1">
        <v>2</v>
      </c>
      <c r="I51">
        <f t="shared" si="24"/>
        <v>70</v>
      </c>
      <c r="J51">
        <f t="shared" si="25"/>
        <v>10</v>
      </c>
      <c r="K51">
        <f t="shared" si="26"/>
        <v>50</v>
      </c>
      <c r="L51">
        <f t="shared" si="27"/>
        <v>70</v>
      </c>
      <c r="M51">
        <f t="shared" si="28"/>
        <v>20</v>
      </c>
      <c r="N51">
        <f t="shared" si="29"/>
        <v>20</v>
      </c>
      <c r="O51">
        <v>5</v>
      </c>
      <c r="P51">
        <v>0</v>
      </c>
      <c r="Q51">
        <v>2</v>
      </c>
      <c r="R51">
        <v>3</v>
      </c>
      <c r="S51">
        <v>2</v>
      </c>
      <c r="T51">
        <v>3</v>
      </c>
      <c r="U51">
        <f t="shared" si="30"/>
        <v>350</v>
      </c>
      <c r="V51">
        <f t="shared" si="31"/>
        <v>0</v>
      </c>
      <c r="W51">
        <f t="shared" si="32"/>
        <v>100</v>
      </c>
      <c r="X51">
        <f t="shared" si="33"/>
        <v>210</v>
      </c>
      <c r="Y51">
        <f t="shared" si="34"/>
        <v>40</v>
      </c>
      <c r="Z51">
        <f t="shared" si="35"/>
        <v>60</v>
      </c>
      <c r="AA51">
        <f t="shared" si="23"/>
        <v>760</v>
      </c>
      <c r="AB51">
        <f t="shared" si="36"/>
        <v>50.666666666666664</v>
      </c>
      <c r="AC51">
        <f t="shared" si="37"/>
        <v>4</v>
      </c>
    </row>
    <row r="52" spans="1:29" x14ac:dyDescent="0.25">
      <c r="A52" s="1">
        <v>18</v>
      </c>
      <c r="B52" s="1" t="s">
        <v>27</v>
      </c>
      <c r="C52" s="1">
        <v>9</v>
      </c>
      <c r="D52" s="1">
        <v>8</v>
      </c>
      <c r="E52" s="1">
        <v>2</v>
      </c>
      <c r="F52" s="1">
        <v>2</v>
      </c>
      <c r="G52" s="1">
        <v>4</v>
      </c>
      <c r="H52" s="1">
        <v>7</v>
      </c>
      <c r="I52">
        <f t="shared" si="24"/>
        <v>90</v>
      </c>
      <c r="J52">
        <f t="shared" si="25"/>
        <v>80</v>
      </c>
      <c r="K52">
        <f t="shared" si="26"/>
        <v>20</v>
      </c>
      <c r="L52">
        <f t="shared" si="27"/>
        <v>20</v>
      </c>
      <c r="M52">
        <f t="shared" si="28"/>
        <v>40</v>
      </c>
      <c r="N52">
        <f t="shared" si="29"/>
        <v>70</v>
      </c>
      <c r="O52">
        <v>3</v>
      </c>
      <c r="P52">
        <v>3</v>
      </c>
      <c r="Q52">
        <v>4</v>
      </c>
      <c r="R52">
        <v>2</v>
      </c>
      <c r="S52">
        <v>1</v>
      </c>
      <c r="T52">
        <v>2</v>
      </c>
      <c r="U52">
        <f t="shared" si="30"/>
        <v>270</v>
      </c>
      <c r="V52">
        <f t="shared" si="31"/>
        <v>240</v>
      </c>
      <c r="W52">
        <f t="shared" si="32"/>
        <v>80</v>
      </c>
      <c r="X52">
        <f t="shared" si="33"/>
        <v>40</v>
      </c>
      <c r="Y52">
        <f t="shared" si="34"/>
        <v>40</v>
      </c>
      <c r="Z52">
        <f t="shared" si="35"/>
        <v>140</v>
      </c>
      <c r="AA52">
        <f t="shared" si="23"/>
        <v>810</v>
      </c>
      <c r="AB52">
        <f t="shared" si="36"/>
        <v>54</v>
      </c>
      <c r="AC52">
        <f t="shared" si="37"/>
        <v>5.333333333333333</v>
      </c>
    </row>
    <row r="53" spans="1:29" x14ac:dyDescent="0.25">
      <c r="A53" s="1">
        <v>19</v>
      </c>
      <c r="B53" s="1" t="s">
        <v>27</v>
      </c>
      <c r="C53" s="1">
        <v>7</v>
      </c>
      <c r="D53" s="1">
        <v>7</v>
      </c>
      <c r="E53" s="1">
        <v>6</v>
      </c>
      <c r="F53" s="1">
        <v>8</v>
      </c>
      <c r="G53" s="1">
        <v>9</v>
      </c>
      <c r="H53" s="1">
        <v>1</v>
      </c>
      <c r="I53">
        <f t="shared" si="24"/>
        <v>70</v>
      </c>
      <c r="J53">
        <f t="shared" si="25"/>
        <v>70</v>
      </c>
      <c r="K53">
        <f t="shared" si="26"/>
        <v>60</v>
      </c>
      <c r="L53">
        <f t="shared" si="27"/>
        <v>80</v>
      </c>
      <c r="M53">
        <f t="shared" si="28"/>
        <v>90</v>
      </c>
      <c r="N53">
        <f t="shared" si="29"/>
        <v>10</v>
      </c>
      <c r="O53">
        <v>4</v>
      </c>
      <c r="P53">
        <v>4</v>
      </c>
      <c r="Q53">
        <v>1</v>
      </c>
      <c r="R53">
        <v>4</v>
      </c>
      <c r="S53">
        <v>2</v>
      </c>
      <c r="T53">
        <v>0</v>
      </c>
      <c r="U53">
        <f t="shared" si="30"/>
        <v>280</v>
      </c>
      <c r="V53">
        <f t="shared" si="31"/>
        <v>280</v>
      </c>
      <c r="W53">
        <f t="shared" si="32"/>
        <v>60</v>
      </c>
      <c r="X53">
        <f t="shared" si="33"/>
        <v>320</v>
      </c>
      <c r="Y53">
        <f t="shared" si="34"/>
        <v>180</v>
      </c>
      <c r="Z53">
        <f t="shared" si="35"/>
        <v>0</v>
      </c>
      <c r="AA53">
        <f t="shared" si="23"/>
        <v>1120</v>
      </c>
      <c r="AB53">
        <f t="shared" si="36"/>
        <v>74.666666666666671</v>
      </c>
      <c r="AC53">
        <f t="shared" si="37"/>
        <v>6.333333333333333</v>
      </c>
    </row>
    <row r="54" spans="1:29" x14ac:dyDescent="0.25">
      <c r="A54" s="1">
        <v>20</v>
      </c>
      <c r="B54" s="1" t="s">
        <v>27</v>
      </c>
      <c r="C54" s="1">
        <v>7</v>
      </c>
      <c r="D54" s="1">
        <v>4</v>
      </c>
      <c r="E54" s="1">
        <v>5</v>
      </c>
      <c r="F54" s="1">
        <v>7</v>
      </c>
      <c r="G54" s="1">
        <v>6</v>
      </c>
      <c r="H54" s="1">
        <v>3</v>
      </c>
      <c r="I54">
        <f t="shared" si="24"/>
        <v>70</v>
      </c>
      <c r="J54">
        <f t="shared" si="25"/>
        <v>40</v>
      </c>
      <c r="K54">
        <f t="shared" si="26"/>
        <v>50</v>
      </c>
      <c r="L54">
        <f t="shared" si="27"/>
        <v>70</v>
      </c>
      <c r="M54">
        <f t="shared" si="28"/>
        <v>60</v>
      </c>
      <c r="N54">
        <f t="shared" si="29"/>
        <v>30</v>
      </c>
      <c r="O54">
        <v>2</v>
      </c>
      <c r="P54">
        <v>2</v>
      </c>
      <c r="Q54">
        <v>2</v>
      </c>
      <c r="R54">
        <v>5</v>
      </c>
      <c r="S54">
        <v>4</v>
      </c>
      <c r="T54">
        <v>0</v>
      </c>
      <c r="U54">
        <f t="shared" si="30"/>
        <v>140</v>
      </c>
      <c r="V54">
        <f t="shared" si="31"/>
        <v>80</v>
      </c>
      <c r="W54">
        <f t="shared" si="32"/>
        <v>100</v>
      </c>
      <c r="X54">
        <f t="shared" si="33"/>
        <v>350</v>
      </c>
      <c r="Y54">
        <f t="shared" si="34"/>
        <v>240</v>
      </c>
      <c r="Z54">
        <f t="shared" si="35"/>
        <v>0</v>
      </c>
      <c r="AA54">
        <f t="shared" si="23"/>
        <v>910</v>
      </c>
      <c r="AB54">
        <f t="shared" si="36"/>
        <v>60.666666666666664</v>
      </c>
      <c r="AC54">
        <f t="shared" si="37"/>
        <v>5.333333333333333</v>
      </c>
    </row>
    <row r="55" spans="1:29" x14ac:dyDescent="0.25">
      <c r="A55" s="1">
        <v>21</v>
      </c>
      <c r="B55" s="1" t="s">
        <v>27</v>
      </c>
      <c r="C55" s="1">
        <v>3</v>
      </c>
      <c r="D55" s="1">
        <v>5</v>
      </c>
      <c r="E55" s="1">
        <v>7</v>
      </c>
      <c r="F55" s="1">
        <v>5</v>
      </c>
      <c r="G55" s="1">
        <v>4</v>
      </c>
      <c r="H55" s="1">
        <v>6</v>
      </c>
      <c r="I55">
        <f t="shared" si="24"/>
        <v>30</v>
      </c>
      <c r="J55">
        <f t="shared" si="25"/>
        <v>50</v>
      </c>
      <c r="K55">
        <f t="shared" si="26"/>
        <v>70</v>
      </c>
      <c r="L55">
        <f t="shared" si="27"/>
        <v>50</v>
      </c>
      <c r="M55">
        <f t="shared" si="28"/>
        <v>40</v>
      </c>
      <c r="N55">
        <f t="shared" si="29"/>
        <v>60</v>
      </c>
      <c r="O55">
        <v>3</v>
      </c>
      <c r="P55">
        <v>4</v>
      </c>
      <c r="Q55">
        <v>3</v>
      </c>
      <c r="R55">
        <v>2</v>
      </c>
      <c r="S55">
        <v>3</v>
      </c>
      <c r="T55">
        <v>0</v>
      </c>
      <c r="U55">
        <f t="shared" si="30"/>
        <v>90</v>
      </c>
      <c r="V55">
        <f t="shared" si="31"/>
        <v>200</v>
      </c>
      <c r="W55">
        <f t="shared" si="32"/>
        <v>210</v>
      </c>
      <c r="X55">
        <f t="shared" si="33"/>
        <v>100</v>
      </c>
      <c r="Y55">
        <f t="shared" si="34"/>
        <v>120</v>
      </c>
      <c r="Z55">
        <f t="shared" si="35"/>
        <v>0</v>
      </c>
      <c r="AA55">
        <f t="shared" si="23"/>
        <v>720</v>
      </c>
      <c r="AB55">
        <f t="shared" si="36"/>
        <v>48</v>
      </c>
      <c r="AC55">
        <f t="shared" si="37"/>
        <v>5</v>
      </c>
    </row>
    <row r="56" spans="1:29" x14ac:dyDescent="0.25">
      <c r="A56" s="1">
        <v>23</v>
      </c>
      <c r="B56" s="1" t="s">
        <v>27</v>
      </c>
      <c r="C56" s="1">
        <v>5</v>
      </c>
      <c r="D56" s="1">
        <v>7</v>
      </c>
      <c r="E56" s="1">
        <v>3</v>
      </c>
      <c r="F56" s="1">
        <v>9</v>
      </c>
      <c r="G56" s="1">
        <v>7</v>
      </c>
      <c r="H56" s="1">
        <v>1</v>
      </c>
      <c r="I56">
        <f t="shared" si="24"/>
        <v>50</v>
      </c>
      <c r="J56">
        <f t="shared" si="25"/>
        <v>70</v>
      </c>
      <c r="K56">
        <f t="shared" si="26"/>
        <v>30</v>
      </c>
      <c r="L56">
        <f t="shared" si="27"/>
        <v>90</v>
      </c>
      <c r="M56">
        <f t="shared" si="28"/>
        <v>70</v>
      </c>
      <c r="N56">
        <f t="shared" si="29"/>
        <v>10</v>
      </c>
      <c r="O56">
        <v>2</v>
      </c>
      <c r="P56">
        <v>1</v>
      </c>
      <c r="Q56">
        <v>5</v>
      </c>
      <c r="R56">
        <v>3</v>
      </c>
      <c r="S56">
        <v>4</v>
      </c>
      <c r="T56">
        <v>0</v>
      </c>
      <c r="U56">
        <f t="shared" si="30"/>
        <v>100</v>
      </c>
      <c r="V56">
        <f t="shared" si="31"/>
        <v>70</v>
      </c>
      <c r="W56">
        <f t="shared" si="32"/>
        <v>150</v>
      </c>
      <c r="X56">
        <f t="shared" si="33"/>
        <v>270</v>
      </c>
      <c r="Y56">
        <f t="shared" si="34"/>
        <v>280</v>
      </c>
      <c r="Z56">
        <f t="shared" si="35"/>
        <v>0</v>
      </c>
      <c r="AA56">
        <f t="shared" si="23"/>
        <v>870</v>
      </c>
      <c r="AB56">
        <f t="shared" si="36"/>
        <v>58</v>
      </c>
      <c r="AC56">
        <f t="shared" si="37"/>
        <v>5.333333333333333</v>
      </c>
    </row>
    <row r="57" spans="1:29" x14ac:dyDescent="0.25">
      <c r="A57" s="1">
        <v>24</v>
      </c>
      <c r="B57" s="1" t="s">
        <v>27</v>
      </c>
      <c r="C57" s="1">
        <v>6</v>
      </c>
      <c r="D57" s="1">
        <v>1</v>
      </c>
      <c r="E57" s="1">
        <v>4</v>
      </c>
      <c r="F57" s="1">
        <v>9</v>
      </c>
      <c r="G57" s="1">
        <v>4</v>
      </c>
      <c r="H57" s="1">
        <v>1</v>
      </c>
      <c r="I57">
        <f t="shared" si="24"/>
        <v>60</v>
      </c>
      <c r="J57">
        <f t="shared" si="25"/>
        <v>10</v>
      </c>
      <c r="K57">
        <f t="shared" si="26"/>
        <v>40</v>
      </c>
      <c r="L57">
        <f t="shared" si="27"/>
        <v>90</v>
      </c>
      <c r="M57">
        <f t="shared" si="28"/>
        <v>40</v>
      </c>
      <c r="N57">
        <f t="shared" si="29"/>
        <v>10</v>
      </c>
      <c r="O57">
        <v>4</v>
      </c>
      <c r="P57">
        <v>0</v>
      </c>
      <c r="Q57">
        <v>4</v>
      </c>
      <c r="R57">
        <v>4</v>
      </c>
      <c r="S57">
        <v>2</v>
      </c>
      <c r="T57">
        <v>1</v>
      </c>
      <c r="U57">
        <f t="shared" si="30"/>
        <v>240</v>
      </c>
      <c r="V57">
        <f t="shared" si="31"/>
        <v>0</v>
      </c>
      <c r="W57">
        <f t="shared" si="32"/>
        <v>160</v>
      </c>
      <c r="X57">
        <f t="shared" si="33"/>
        <v>360</v>
      </c>
      <c r="Y57">
        <f t="shared" si="34"/>
        <v>80</v>
      </c>
      <c r="Z57">
        <f t="shared" si="35"/>
        <v>10</v>
      </c>
      <c r="AA57">
        <f t="shared" si="23"/>
        <v>850</v>
      </c>
      <c r="AB57">
        <f t="shared" si="36"/>
        <v>56.666666666666664</v>
      </c>
      <c r="AC57">
        <f t="shared" si="37"/>
        <v>4.166666666666667</v>
      </c>
    </row>
    <row r="58" spans="1:29" x14ac:dyDescent="0.25">
      <c r="A58" s="1">
        <v>25</v>
      </c>
      <c r="B58" s="1" t="s">
        <v>27</v>
      </c>
      <c r="C58" s="1">
        <v>8</v>
      </c>
      <c r="D58" s="1">
        <v>2</v>
      </c>
      <c r="E58" s="1">
        <v>2</v>
      </c>
      <c r="F58" s="1">
        <v>9</v>
      </c>
      <c r="G58" s="1">
        <v>5</v>
      </c>
      <c r="H58" s="1">
        <v>2</v>
      </c>
      <c r="I58">
        <f t="shared" si="24"/>
        <v>80</v>
      </c>
      <c r="J58">
        <f t="shared" si="25"/>
        <v>20</v>
      </c>
      <c r="K58">
        <f t="shared" si="26"/>
        <v>20</v>
      </c>
      <c r="L58">
        <f t="shared" si="27"/>
        <v>90</v>
      </c>
      <c r="M58">
        <f t="shared" si="28"/>
        <v>50</v>
      </c>
      <c r="N58">
        <f t="shared" si="29"/>
        <v>20</v>
      </c>
      <c r="O58">
        <v>5</v>
      </c>
      <c r="P58">
        <v>3</v>
      </c>
      <c r="Q58">
        <v>3</v>
      </c>
      <c r="R58">
        <v>1</v>
      </c>
      <c r="S58">
        <v>3</v>
      </c>
      <c r="T58">
        <v>0</v>
      </c>
      <c r="U58">
        <f t="shared" si="30"/>
        <v>400</v>
      </c>
      <c r="V58">
        <f t="shared" si="31"/>
        <v>60</v>
      </c>
      <c r="W58">
        <f t="shared" si="32"/>
        <v>60</v>
      </c>
      <c r="X58">
        <f t="shared" si="33"/>
        <v>90</v>
      </c>
      <c r="Y58">
        <f t="shared" si="34"/>
        <v>150</v>
      </c>
      <c r="Z58">
        <f t="shared" si="35"/>
        <v>0</v>
      </c>
      <c r="AA58">
        <f t="shared" si="23"/>
        <v>760</v>
      </c>
      <c r="AB58">
        <f t="shared" si="36"/>
        <v>50.666666666666664</v>
      </c>
      <c r="AC58">
        <f t="shared" si="37"/>
        <v>4.666666666666667</v>
      </c>
    </row>
    <row r="59" spans="1:29" x14ac:dyDescent="0.25">
      <c r="A59" s="1">
        <v>26</v>
      </c>
      <c r="B59" s="1" t="s">
        <v>27</v>
      </c>
      <c r="C59" s="1">
        <v>7</v>
      </c>
      <c r="D59" s="1">
        <v>1</v>
      </c>
      <c r="E59" s="1">
        <v>7</v>
      </c>
      <c r="F59" s="1">
        <v>8</v>
      </c>
      <c r="G59" s="1">
        <v>8</v>
      </c>
      <c r="H59" s="1">
        <v>7</v>
      </c>
      <c r="I59">
        <f t="shared" si="24"/>
        <v>70</v>
      </c>
      <c r="J59">
        <f t="shared" si="25"/>
        <v>10</v>
      </c>
      <c r="K59">
        <f t="shared" si="26"/>
        <v>70</v>
      </c>
      <c r="L59">
        <f t="shared" si="27"/>
        <v>80</v>
      </c>
      <c r="M59">
        <f t="shared" si="28"/>
        <v>80</v>
      </c>
      <c r="N59">
        <f t="shared" si="29"/>
        <v>70</v>
      </c>
      <c r="O59">
        <v>3</v>
      </c>
      <c r="P59">
        <v>0</v>
      </c>
      <c r="Q59">
        <v>4</v>
      </c>
      <c r="R59">
        <v>2</v>
      </c>
      <c r="S59">
        <v>4</v>
      </c>
      <c r="T59">
        <v>2</v>
      </c>
      <c r="U59">
        <f t="shared" si="30"/>
        <v>210</v>
      </c>
      <c r="V59">
        <f t="shared" si="31"/>
        <v>0</v>
      </c>
      <c r="W59">
        <f t="shared" si="32"/>
        <v>280</v>
      </c>
      <c r="X59">
        <f t="shared" si="33"/>
        <v>160</v>
      </c>
      <c r="Y59">
        <f t="shared" si="34"/>
        <v>320</v>
      </c>
      <c r="Z59">
        <f t="shared" si="35"/>
        <v>140</v>
      </c>
      <c r="AA59">
        <f t="shared" si="23"/>
        <v>1110</v>
      </c>
      <c r="AB59">
        <f t="shared" si="36"/>
        <v>74</v>
      </c>
      <c r="AC59">
        <f t="shared" si="37"/>
        <v>6.333333333333333</v>
      </c>
    </row>
    <row r="60" spans="1:29" x14ac:dyDescent="0.25">
      <c r="A60" s="1">
        <v>27</v>
      </c>
      <c r="B60" s="1" t="s">
        <v>27</v>
      </c>
      <c r="C60" s="1">
        <v>9</v>
      </c>
      <c r="D60" s="1">
        <v>7</v>
      </c>
      <c r="E60" s="1">
        <v>6</v>
      </c>
      <c r="F60" s="1">
        <v>7</v>
      </c>
      <c r="G60" s="1">
        <v>9</v>
      </c>
      <c r="H60" s="1">
        <v>9</v>
      </c>
      <c r="I60">
        <f t="shared" si="24"/>
        <v>90</v>
      </c>
      <c r="J60">
        <f t="shared" si="25"/>
        <v>70</v>
      </c>
      <c r="K60">
        <f t="shared" si="26"/>
        <v>60</v>
      </c>
      <c r="L60">
        <f t="shared" si="27"/>
        <v>70</v>
      </c>
      <c r="M60">
        <f t="shared" si="28"/>
        <v>90</v>
      </c>
      <c r="N60">
        <f t="shared" si="29"/>
        <v>90</v>
      </c>
      <c r="O60">
        <v>5</v>
      </c>
      <c r="P60">
        <v>2</v>
      </c>
      <c r="Q60">
        <v>1</v>
      </c>
      <c r="R60">
        <v>3</v>
      </c>
      <c r="S60">
        <v>4</v>
      </c>
      <c r="T60">
        <v>0</v>
      </c>
      <c r="U60">
        <f t="shared" si="30"/>
        <v>450</v>
      </c>
      <c r="V60">
        <f t="shared" si="31"/>
        <v>140</v>
      </c>
      <c r="W60">
        <f t="shared" si="32"/>
        <v>60</v>
      </c>
      <c r="X60">
        <f t="shared" si="33"/>
        <v>210</v>
      </c>
      <c r="Y60">
        <f t="shared" si="34"/>
        <v>360</v>
      </c>
      <c r="Z60">
        <f t="shared" si="35"/>
        <v>0</v>
      </c>
      <c r="AA60">
        <f t="shared" si="23"/>
        <v>1220</v>
      </c>
      <c r="AB60">
        <f t="shared" si="36"/>
        <v>81.333333333333329</v>
      </c>
      <c r="AC60">
        <f t="shared" si="37"/>
        <v>7.833333333333333</v>
      </c>
    </row>
    <row r="61" spans="1:29" x14ac:dyDescent="0.25">
      <c r="A61" s="1">
        <v>22</v>
      </c>
      <c r="B61" s="1" t="s">
        <v>27</v>
      </c>
      <c r="C61" s="1">
        <v>2</v>
      </c>
      <c r="D61" s="1">
        <v>1</v>
      </c>
      <c r="E61" s="1">
        <v>5</v>
      </c>
      <c r="F61" s="1">
        <v>8</v>
      </c>
      <c r="G61" s="1">
        <v>5</v>
      </c>
      <c r="H61" s="1">
        <v>1</v>
      </c>
      <c r="I61">
        <f t="shared" si="24"/>
        <v>20</v>
      </c>
      <c r="J61">
        <f t="shared" si="25"/>
        <v>10</v>
      </c>
      <c r="K61">
        <f t="shared" si="26"/>
        <v>50</v>
      </c>
      <c r="L61">
        <f t="shared" si="27"/>
        <v>80</v>
      </c>
      <c r="M61">
        <f t="shared" si="28"/>
        <v>50</v>
      </c>
      <c r="N61">
        <f t="shared" si="29"/>
        <v>10</v>
      </c>
      <c r="O61">
        <v>4</v>
      </c>
      <c r="P61">
        <v>1</v>
      </c>
      <c r="Q61">
        <v>2</v>
      </c>
      <c r="R61">
        <v>5</v>
      </c>
      <c r="S61">
        <v>3</v>
      </c>
      <c r="T61">
        <v>0</v>
      </c>
      <c r="U61">
        <f t="shared" si="30"/>
        <v>80</v>
      </c>
      <c r="V61">
        <f t="shared" si="31"/>
        <v>10</v>
      </c>
      <c r="W61">
        <f t="shared" si="32"/>
        <v>100</v>
      </c>
      <c r="X61">
        <f t="shared" si="33"/>
        <v>400</v>
      </c>
      <c r="Y61">
        <f t="shared" si="34"/>
        <v>150</v>
      </c>
      <c r="Z61">
        <f t="shared" si="35"/>
        <v>0</v>
      </c>
      <c r="AA61">
        <f t="shared" si="23"/>
        <v>740</v>
      </c>
      <c r="AB61">
        <f t="shared" si="36"/>
        <v>49.333333333333336</v>
      </c>
      <c r="AC61">
        <f t="shared" si="37"/>
        <v>3.6666666666666665</v>
      </c>
    </row>
    <row r="62" spans="1:29" x14ac:dyDescent="0.25">
      <c r="A62" s="1">
        <v>28</v>
      </c>
      <c r="B62" s="1" t="s">
        <v>27</v>
      </c>
      <c r="C62" s="1">
        <v>4</v>
      </c>
      <c r="D62" s="1">
        <v>1</v>
      </c>
      <c r="E62" s="1">
        <v>5</v>
      </c>
      <c r="F62" s="1">
        <v>8</v>
      </c>
      <c r="G62" s="1">
        <v>3</v>
      </c>
      <c r="H62" s="1">
        <v>4</v>
      </c>
      <c r="I62">
        <f t="shared" si="24"/>
        <v>40</v>
      </c>
      <c r="J62">
        <f t="shared" si="25"/>
        <v>10</v>
      </c>
      <c r="K62">
        <f t="shared" si="26"/>
        <v>50</v>
      </c>
      <c r="L62">
        <f t="shared" si="27"/>
        <v>80</v>
      </c>
      <c r="M62">
        <f t="shared" si="28"/>
        <v>30</v>
      </c>
      <c r="N62">
        <f t="shared" si="29"/>
        <v>40</v>
      </c>
      <c r="O62">
        <v>3</v>
      </c>
      <c r="P62">
        <v>0</v>
      </c>
      <c r="Q62">
        <v>3</v>
      </c>
      <c r="R62">
        <v>5</v>
      </c>
      <c r="S62">
        <v>2</v>
      </c>
      <c r="T62">
        <v>2</v>
      </c>
      <c r="U62">
        <f t="shared" si="30"/>
        <v>120</v>
      </c>
      <c r="V62">
        <f t="shared" si="31"/>
        <v>0</v>
      </c>
      <c r="W62">
        <f t="shared" si="32"/>
        <v>150</v>
      </c>
      <c r="X62">
        <f t="shared" si="33"/>
        <v>400</v>
      </c>
      <c r="Y62">
        <f t="shared" si="34"/>
        <v>60</v>
      </c>
      <c r="Z62">
        <f t="shared" si="35"/>
        <v>80</v>
      </c>
      <c r="AA62">
        <f t="shared" si="23"/>
        <v>810</v>
      </c>
      <c r="AB62">
        <f t="shared" si="36"/>
        <v>54</v>
      </c>
      <c r="AC62">
        <f t="shared" si="37"/>
        <v>4.166666666666667</v>
      </c>
    </row>
    <row r="63" spans="1:29" x14ac:dyDescent="0.25">
      <c r="A63" s="1">
        <v>29</v>
      </c>
      <c r="B63" s="1" t="s">
        <v>27</v>
      </c>
      <c r="C63" s="1">
        <v>9</v>
      </c>
      <c r="D63" s="1">
        <v>1</v>
      </c>
      <c r="E63" s="1">
        <v>3</v>
      </c>
      <c r="F63" s="1">
        <v>9</v>
      </c>
      <c r="G63" s="1">
        <v>7</v>
      </c>
      <c r="H63" s="1">
        <v>1</v>
      </c>
      <c r="I63">
        <f t="shared" si="24"/>
        <v>90</v>
      </c>
      <c r="J63">
        <f t="shared" si="25"/>
        <v>10</v>
      </c>
      <c r="K63">
        <f t="shared" si="26"/>
        <v>30</v>
      </c>
      <c r="L63">
        <f t="shared" si="27"/>
        <v>90</v>
      </c>
      <c r="M63">
        <f t="shared" si="28"/>
        <v>70</v>
      </c>
      <c r="N63">
        <f t="shared" si="29"/>
        <v>10</v>
      </c>
      <c r="O63">
        <v>4</v>
      </c>
      <c r="P63">
        <v>0</v>
      </c>
      <c r="Q63">
        <v>2</v>
      </c>
      <c r="R63">
        <v>4</v>
      </c>
      <c r="S63">
        <v>3</v>
      </c>
      <c r="T63">
        <v>2</v>
      </c>
      <c r="U63">
        <f t="shared" si="30"/>
        <v>360</v>
      </c>
      <c r="V63">
        <f t="shared" si="31"/>
        <v>0</v>
      </c>
      <c r="W63">
        <f t="shared" si="32"/>
        <v>60</v>
      </c>
      <c r="X63">
        <f t="shared" si="33"/>
        <v>360</v>
      </c>
      <c r="Y63">
        <f t="shared" si="34"/>
        <v>210</v>
      </c>
      <c r="Z63">
        <f t="shared" si="35"/>
        <v>20</v>
      </c>
      <c r="AA63">
        <f t="shared" si="23"/>
        <v>1010</v>
      </c>
      <c r="AB63">
        <f t="shared" si="36"/>
        <v>67.333333333333329</v>
      </c>
      <c r="AC63">
        <f t="shared" si="37"/>
        <v>5</v>
      </c>
    </row>
    <row r="65" spans="1:55" ht="14.5" x14ac:dyDescent="0.25">
      <c r="A65" s="4"/>
      <c r="B65" s="8" t="s">
        <v>75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6"/>
      <c r="P65" s="7"/>
      <c r="Q65" s="6"/>
      <c r="R65" s="7"/>
      <c r="S65" s="6"/>
      <c r="T65" s="7"/>
      <c r="U65" s="5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</row>
    <row r="66" spans="1:55" x14ac:dyDescent="0.25">
      <c r="A66" s="1">
        <v>1</v>
      </c>
      <c r="B66" s="1" t="s">
        <v>28</v>
      </c>
      <c r="C66" s="1">
        <v>7</v>
      </c>
      <c r="D66" s="1">
        <v>3</v>
      </c>
      <c r="E66" s="1">
        <v>3</v>
      </c>
      <c r="F66" s="1">
        <v>7</v>
      </c>
      <c r="G66" s="1">
        <v>7</v>
      </c>
      <c r="H66" s="1">
        <v>2</v>
      </c>
      <c r="I66">
        <f t="shared" ref="I66" si="38">(C66*100)/10</f>
        <v>70</v>
      </c>
      <c r="J66">
        <f t="shared" ref="J66" si="39">(D66*100)/10</f>
        <v>30</v>
      </c>
      <c r="K66">
        <f t="shared" ref="K66" si="40">(E66*100)/10</f>
        <v>30</v>
      </c>
      <c r="L66">
        <f t="shared" ref="L66" si="41">(F66*100)/10</f>
        <v>70</v>
      </c>
      <c r="M66">
        <f t="shared" ref="M66" si="42">(G66*100)/10</f>
        <v>70</v>
      </c>
      <c r="N66">
        <f t="shared" ref="N66" si="43">(H66*100)/10</f>
        <v>20</v>
      </c>
      <c r="O66">
        <v>4</v>
      </c>
      <c r="P66">
        <v>1</v>
      </c>
      <c r="Q66">
        <v>5</v>
      </c>
      <c r="R66">
        <v>2</v>
      </c>
      <c r="S66">
        <v>3</v>
      </c>
      <c r="T66">
        <v>0</v>
      </c>
      <c r="U66">
        <f t="shared" ref="U66" si="44">I66*O66</f>
        <v>280</v>
      </c>
      <c r="V66">
        <f t="shared" ref="V66" si="45">J66*P66</f>
        <v>30</v>
      </c>
      <c r="W66">
        <f t="shared" ref="W66" si="46">K66*Q66</f>
        <v>150</v>
      </c>
      <c r="X66">
        <f t="shared" ref="X66" si="47">L66*R66</f>
        <v>140</v>
      </c>
      <c r="Y66">
        <f t="shared" ref="Y66" si="48">M66*S66</f>
        <v>210</v>
      </c>
      <c r="Z66">
        <f t="shared" ref="Z66" si="49">N66*T66</f>
        <v>0</v>
      </c>
      <c r="AA66">
        <f t="shared" ref="AA66:AA93" si="50">SUM(U66:Z66)</f>
        <v>810</v>
      </c>
      <c r="AB66">
        <f t="shared" ref="AB66:AB93" si="51">AA66/15</f>
        <v>54</v>
      </c>
      <c r="AC66">
        <f t="shared" ref="AC66:AC93" si="52">AVERAGE(C66:H66)</f>
        <v>4.833333333333333</v>
      </c>
    </row>
    <row r="67" spans="1:55" x14ac:dyDescent="0.25">
      <c r="A67" s="1">
        <v>2</v>
      </c>
      <c r="B67" s="1" t="s">
        <v>28</v>
      </c>
      <c r="C67" s="1">
        <v>1</v>
      </c>
      <c r="D67" s="1">
        <v>1</v>
      </c>
      <c r="E67" s="1">
        <v>1</v>
      </c>
      <c r="F67" s="1">
        <v>10</v>
      </c>
      <c r="G67" s="1">
        <v>1</v>
      </c>
      <c r="H67" s="1">
        <v>1</v>
      </c>
      <c r="I67">
        <f t="shared" ref="I67:I93" si="53">(C67*100)/10</f>
        <v>10</v>
      </c>
      <c r="J67">
        <f t="shared" ref="J67:J93" si="54">(D67*100)/10</f>
        <v>10</v>
      </c>
      <c r="K67">
        <f t="shared" ref="K67:K93" si="55">(E67*100)/10</f>
        <v>10</v>
      </c>
      <c r="L67">
        <f t="shared" ref="L67:L93" si="56">(F67*100)/10</f>
        <v>100</v>
      </c>
      <c r="M67">
        <f t="shared" ref="M67:M93" si="57">(G67*100)/10</f>
        <v>10</v>
      </c>
      <c r="N67">
        <f t="shared" ref="N67:N93" si="58">(H67*100)/10</f>
        <v>10</v>
      </c>
      <c r="O67">
        <v>1</v>
      </c>
      <c r="P67">
        <v>5</v>
      </c>
      <c r="Q67">
        <v>2</v>
      </c>
      <c r="R67">
        <v>3</v>
      </c>
      <c r="S67">
        <v>4</v>
      </c>
      <c r="T67">
        <v>0</v>
      </c>
      <c r="U67">
        <f t="shared" ref="U67:U93" si="59">I67*O67</f>
        <v>10</v>
      </c>
      <c r="V67">
        <f t="shared" ref="V67:V93" si="60">J67*P67</f>
        <v>50</v>
      </c>
      <c r="W67">
        <f t="shared" ref="W67:W93" si="61">K67*Q67</f>
        <v>20</v>
      </c>
      <c r="X67">
        <f t="shared" ref="X67:X93" si="62">L67*R67</f>
        <v>300</v>
      </c>
      <c r="Y67">
        <f t="shared" ref="Y67:Y93" si="63">M67*S67</f>
        <v>40</v>
      </c>
      <c r="Z67">
        <f t="shared" ref="Z67:Z93" si="64">N67*T67</f>
        <v>0</v>
      </c>
      <c r="AA67">
        <f t="shared" si="50"/>
        <v>420</v>
      </c>
      <c r="AB67">
        <f t="shared" si="51"/>
        <v>28</v>
      </c>
      <c r="AC67">
        <f t="shared" si="52"/>
        <v>2.5</v>
      </c>
    </row>
    <row r="68" spans="1:55" x14ac:dyDescent="0.25">
      <c r="A68" s="1">
        <v>3</v>
      </c>
      <c r="B68" s="1" t="s">
        <v>28</v>
      </c>
      <c r="C68" s="1">
        <v>8</v>
      </c>
      <c r="D68" s="1">
        <v>5</v>
      </c>
      <c r="E68" s="1">
        <v>5</v>
      </c>
      <c r="F68" s="1">
        <v>4</v>
      </c>
      <c r="G68" s="1">
        <v>6</v>
      </c>
      <c r="H68" s="1">
        <v>1</v>
      </c>
      <c r="I68">
        <f t="shared" si="53"/>
        <v>80</v>
      </c>
      <c r="J68">
        <f t="shared" si="54"/>
        <v>50</v>
      </c>
      <c r="K68">
        <f t="shared" si="55"/>
        <v>50</v>
      </c>
      <c r="L68">
        <f t="shared" si="56"/>
        <v>40</v>
      </c>
      <c r="M68">
        <f t="shared" si="57"/>
        <v>60</v>
      </c>
      <c r="N68">
        <f t="shared" si="58"/>
        <v>10</v>
      </c>
      <c r="O68">
        <v>4</v>
      </c>
      <c r="P68">
        <v>1</v>
      </c>
      <c r="Q68">
        <v>2</v>
      </c>
      <c r="R68">
        <v>3</v>
      </c>
      <c r="S68">
        <v>5</v>
      </c>
      <c r="T68">
        <v>0</v>
      </c>
      <c r="U68">
        <f t="shared" si="59"/>
        <v>320</v>
      </c>
      <c r="V68">
        <f t="shared" si="60"/>
        <v>50</v>
      </c>
      <c r="W68">
        <f t="shared" si="61"/>
        <v>100</v>
      </c>
      <c r="X68">
        <f t="shared" si="62"/>
        <v>120</v>
      </c>
      <c r="Y68">
        <f t="shared" si="63"/>
        <v>300</v>
      </c>
      <c r="Z68">
        <f t="shared" si="64"/>
        <v>0</v>
      </c>
      <c r="AA68">
        <f t="shared" si="50"/>
        <v>890</v>
      </c>
      <c r="AB68">
        <f t="shared" si="51"/>
        <v>59.333333333333336</v>
      </c>
      <c r="AC68">
        <f t="shared" si="52"/>
        <v>4.833333333333333</v>
      </c>
    </row>
    <row r="69" spans="1:55" x14ac:dyDescent="0.25">
      <c r="A69" s="1">
        <v>4</v>
      </c>
      <c r="B69" s="1" t="s">
        <v>28</v>
      </c>
      <c r="C69" s="1">
        <v>5</v>
      </c>
      <c r="D69" s="1">
        <v>2</v>
      </c>
      <c r="E69" s="1">
        <v>3</v>
      </c>
      <c r="F69" s="1">
        <v>9</v>
      </c>
      <c r="G69" s="1">
        <v>6</v>
      </c>
      <c r="H69" s="1">
        <v>2</v>
      </c>
      <c r="I69">
        <f t="shared" si="53"/>
        <v>50</v>
      </c>
      <c r="J69">
        <f t="shared" si="54"/>
        <v>20</v>
      </c>
      <c r="K69">
        <f t="shared" si="55"/>
        <v>30</v>
      </c>
      <c r="L69">
        <f t="shared" si="56"/>
        <v>90</v>
      </c>
      <c r="M69">
        <f t="shared" si="57"/>
        <v>60</v>
      </c>
      <c r="N69">
        <f t="shared" si="58"/>
        <v>20</v>
      </c>
      <c r="O69">
        <v>4</v>
      </c>
      <c r="P69">
        <v>1</v>
      </c>
      <c r="Q69">
        <v>2</v>
      </c>
      <c r="R69">
        <v>5</v>
      </c>
      <c r="S69">
        <v>3</v>
      </c>
      <c r="T69">
        <v>0</v>
      </c>
      <c r="U69">
        <f t="shared" si="59"/>
        <v>200</v>
      </c>
      <c r="V69">
        <f t="shared" si="60"/>
        <v>20</v>
      </c>
      <c r="W69">
        <f t="shared" si="61"/>
        <v>60</v>
      </c>
      <c r="X69">
        <f t="shared" si="62"/>
        <v>450</v>
      </c>
      <c r="Y69">
        <f t="shared" si="63"/>
        <v>180</v>
      </c>
      <c r="Z69">
        <f t="shared" si="64"/>
        <v>0</v>
      </c>
      <c r="AA69">
        <f t="shared" si="50"/>
        <v>910</v>
      </c>
      <c r="AB69">
        <f t="shared" si="51"/>
        <v>60.666666666666664</v>
      </c>
      <c r="AC69">
        <f t="shared" si="52"/>
        <v>4.5</v>
      </c>
    </row>
    <row r="70" spans="1:55" x14ac:dyDescent="0.25">
      <c r="A70" s="1">
        <v>5</v>
      </c>
      <c r="B70" s="1" t="s">
        <v>28</v>
      </c>
      <c r="C70" s="1">
        <v>10</v>
      </c>
      <c r="D70" s="1">
        <v>7</v>
      </c>
      <c r="E70" s="1">
        <v>5</v>
      </c>
      <c r="F70" s="1">
        <v>7</v>
      </c>
      <c r="G70" s="1">
        <v>9</v>
      </c>
      <c r="H70" s="1">
        <v>1</v>
      </c>
      <c r="I70">
        <f t="shared" si="53"/>
        <v>100</v>
      </c>
      <c r="J70">
        <f t="shared" si="54"/>
        <v>70</v>
      </c>
      <c r="K70">
        <f t="shared" si="55"/>
        <v>50</v>
      </c>
      <c r="L70">
        <f t="shared" si="56"/>
        <v>70</v>
      </c>
      <c r="M70">
        <f t="shared" si="57"/>
        <v>90</v>
      </c>
      <c r="N70">
        <f t="shared" si="58"/>
        <v>10</v>
      </c>
      <c r="O70">
        <v>5</v>
      </c>
      <c r="P70">
        <v>3</v>
      </c>
      <c r="Q70">
        <v>0</v>
      </c>
      <c r="R70">
        <v>2</v>
      </c>
      <c r="S70">
        <v>4</v>
      </c>
      <c r="T70">
        <v>1</v>
      </c>
      <c r="U70">
        <f t="shared" si="59"/>
        <v>500</v>
      </c>
      <c r="V70">
        <f t="shared" si="60"/>
        <v>210</v>
      </c>
      <c r="W70">
        <f t="shared" si="61"/>
        <v>0</v>
      </c>
      <c r="X70">
        <f t="shared" si="62"/>
        <v>140</v>
      </c>
      <c r="Y70">
        <f t="shared" si="63"/>
        <v>360</v>
      </c>
      <c r="Z70">
        <f t="shared" si="64"/>
        <v>10</v>
      </c>
      <c r="AA70">
        <f t="shared" si="50"/>
        <v>1220</v>
      </c>
      <c r="AB70">
        <f t="shared" si="51"/>
        <v>81.333333333333329</v>
      </c>
      <c r="AC70">
        <f t="shared" si="52"/>
        <v>6.5</v>
      </c>
    </row>
    <row r="71" spans="1:55" x14ac:dyDescent="0.25">
      <c r="A71" s="1">
        <v>6</v>
      </c>
      <c r="B71" s="1" t="s">
        <v>28</v>
      </c>
      <c r="C71" s="1">
        <v>5</v>
      </c>
      <c r="D71" s="1">
        <v>2</v>
      </c>
      <c r="E71" s="1">
        <v>3</v>
      </c>
      <c r="F71" s="1">
        <v>7</v>
      </c>
      <c r="G71" s="1">
        <v>6</v>
      </c>
      <c r="H71" s="1">
        <v>3</v>
      </c>
      <c r="I71">
        <f t="shared" si="53"/>
        <v>50</v>
      </c>
      <c r="J71">
        <f t="shared" si="54"/>
        <v>20</v>
      </c>
      <c r="K71">
        <f t="shared" si="55"/>
        <v>30</v>
      </c>
      <c r="L71">
        <f t="shared" si="56"/>
        <v>70</v>
      </c>
      <c r="M71">
        <f t="shared" si="57"/>
        <v>60</v>
      </c>
      <c r="N71">
        <f t="shared" si="58"/>
        <v>30</v>
      </c>
      <c r="O71">
        <v>2</v>
      </c>
      <c r="P71">
        <v>2</v>
      </c>
      <c r="Q71">
        <v>2</v>
      </c>
      <c r="R71">
        <v>3</v>
      </c>
      <c r="S71">
        <v>3</v>
      </c>
      <c r="T71">
        <v>3</v>
      </c>
      <c r="U71">
        <f t="shared" si="59"/>
        <v>100</v>
      </c>
      <c r="V71">
        <f t="shared" si="60"/>
        <v>40</v>
      </c>
      <c r="W71">
        <f t="shared" si="61"/>
        <v>60</v>
      </c>
      <c r="X71">
        <f t="shared" si="62"/>
        <v>210</v>
      </c>
      <c r="Y71">
        <f t="shared" si="63"/>
        <v>180</v>
      </c>
      <c r="Z71">
        <f t="shared" si="64"/>
        <v>90</v>
      </c>
      <c r="AA71">
        <f t="shared" si="50"/>
        <v>680</v>
      </c>
      <c r="AB71">
        <f t="shared" si="51"/>
        <v>45.333333333333336</v>
      </c>
      <c r="AC71">
        <f t="shared" si="52"/>
        <v>4.333333333333333</v>
      </c>
    </row>
    <row r="72" spans="1:55" x14ac:dyDescent="0.25">
      <c r="A72" s="1">
        <v>7</v>
      </c>
      <c r="B72" s="1" t="s">
        <v>28</v>
      </c>
      <c r="C72" s="1">
        <v>1</v>
      </c>
      <c r="D72" s="1">
        <v>1</v>
      </c>
      <c r="E72" s="1">
        <v>1</v>
      </c>
      <c r="F72" s="1">
        <v>10</v>
      </c>
      <c r="G72" s="1">
        <v>1</v>
      </c>
      <c r="H72" s="1">
        <v>1</v>
      </c>
      <c r="I72">
        <f t="shared" si="53"/>
        <v>10</v>
      </c>
      <c r="J72">
        <f t="shared" si="54"/>
        <v>10</v>
      </c>
      <c r="K72">
        <f t="shared" si="55"/>
        <v>10</v>
      </c>
      <c r="L72">
        <f t="shared" si="56"/>
        <v>100</v>
      </c>
      <c r="M72">
        <f t="shared" si="57"/>
        <v>10</v>
      </c>
      <c r="N72">
        <f t="shared" si="58"/>
        <v>10</v>
      </c>
      <c r="O72">
        <v>4</v>
      </c>
      <c r="P72">
        <v>0</v>
      </c>
      <c r="Q72">
        <v>5</v>
      </c>
      <c r="R72">
        <v>3</v>
      </c>
      <c r="S72">
        <v>2</v>
      </c>
      <c r="T72">
        <v>1</v>
      </c>
      <c r="U72">
        <f t="shared" si="59"/>
        <v>40</v>
      </c>
      <c r="V72">
        <f t="shared" si="60"/>
        <v>0</v>
      </c>
      <c r="W72">
        <f t="shared" si="61"/>
        <v>50</v>
      </c>
      <c r="X72">
        <f t="shared" si="62"/>
        <v>300</v>
      </c>
      <c r="Y72">
        <f t="shared" si="63"/>
        <v>20</v>
      </c>
      <c r="Z72">
        <f t="shared" si="64"/>
        <v>10</v>
      </c>
      <c r="AA72">
        <f t="shared" si="50"/>
        <v>420</v>
      </c>
      <c r="AB72">
        <f t="shared" si="51"/>
        <v>28</v>
      </c>
      <c r="AC72">
        <f t="shared" si="52"/>
        <v>2.5</v>
      </c>
    </row>
    <row r="73" spans="1:55" x14ac:dyDescent="0.25">
      <c r="A73" s="1">
        <v>8</v>
      </c>
      <c r="B73" s="1" t="s">
        <v>28</v>
      </c>
      <c r="C73" s="1">
        <v>3</v>
      </c>
      <c r="D73" s="1">
        <v>7</v>
      </c>
      <c r="E73" s="1">
        <v>7</v>
      </c>
      <c r="F73" s="1">
        <v>7</v>
      </c>
      <c r="G73" s="1">
        <v>8</v>
      </c>
      <c r="H73" s="1">
        <v>4</v>
      </c>
      <c r="I73">
        <f t="shared" si="53"/>
        <v>30</v>
      </c>
      <c r="J73">
        <f t="shared" si="54"/>
        <v>70</v>
      </c>
      <c r="K73">
        <f t="shared" si="55"/>
        <v>70</v>
      </c>
      <c r="L73">
        <f t="shared" si="56"/>
        <v>70</v>
      </c>
      <c r="M73">
        <f t="shared" si="57"/>
        <v>80</v>
      </c>
      <c r="N73">
        <f t="shared" si="58"/>
        <v>40</v>
      </c>
      <c r="O73">
        <v>0</v>
      </c>
      <c r="P73">
        <v>4</v>
      </c>
      <c r="Q73">
        <v>2</v>
      </c>
      <c r="R73">
        <v>2</v>
      </c>
      <c r="S73">
        <v>5</v>
      </c>
      <c r="T73">
        <v>2</v>
      </c>
      <c r="U73">
        <f t="shared" si="59"/>
        <v>0</v>
      </c>
      <c r="V73">
        <f t="shared" si="60"/>
        <v>280</v>
      </c>
      <c r="W73">
        <f t="shared" si="61"/>
        <v>140</v>
      </c>
      <c r="X73">
        <f t="shared" si="62"/>
        <v>140</v>
      </c>
      <c r="Y73">
        <f t="shared" si="63"/>
        <v>400</v>
      </c>
      <c r="Z73">
        <f t="shared" si="64"/>
        <v>80</v>
      </c>
      <c r="AA73">
        <f t="shared" si="50"/>
        <v>1040</v>
      </c>
      <c r="AB73">
        <f t="shared" si="51"/>
        <v>69.333333333333329</v>
      </c>
      <c r="AC73">
        <f t="shared" si="52"/>
        <v>6</v>
      </c>
    </row>
    <row r="74" spans="1:55" x14ac:dyDescent="0.25">
      <c r="A74" s="1">
        <v>9</v>
      </c>
      <c r="B74" s="1" t="s">
        <v>28</v>
      </c>
      <c r="C74" s="1">
        <v>2</v>
      </c>
      <c r="D74" s="1">
        <v>2</v>
      </c>
      <c r="E74" s="1">
        <v>2</v>
      </c>
      <c r="F74" s="1">
        <v>8</v>
      </c>
      <c r="G74" s="1">
        <v>3</v>
      </c>
      <c r="H74" s="1">
        <v>2</v>
      </c>
      <c r="I74">
        <f t="shared" si="53"/>
        <v>20</v>
      </c>
      <c r="J74">
        <f t="shared" si="54"/>
        <v>20</v>
      </c>
      <c r="K74">
        <f t="shared" si="55"/>
        <v>20</v>
      </c>
      <c r="L74">
        <f t="shared" si="56"/>
        <v>80</v>
      </c>
      <c r="M74">
        <f t="shared" si="57"/>
        <v>30</v>
      </c>
      <c r="N74">
        <f t="shared" si="58"/>
        <v>20</v>
      </c>
      <c r="O74">
        <v>5</v>
      </c>
      <c r="P74">
        <v>4</v>
      </c>
      <c r="Q74">
        <v>1</v>
      </c>
      <c r="R74">
        <v>3</v>
      </c>
      <c r="S74">
        <v>2</v>
      </c>
      <c r="T74">
        <v>0</v>
      </c>
      <c r="U74">
        <f t="shared" si="59"/>
        <v>100</v>
      </c>
      <c r="V74">
        <f t="shared" si="60"/>
        <v>80</v>
      </c>
      <c r="W74">
        <f t="shared" si="61"/>
        <v>20</v>
      </c>
      <c r="X74">
        <f t="shared" si="62"/>
        <v>240</v>
      </c>
      <c r="Y74">
        <f t="shared" si="63"/>
        <v>60</v>
      </c>
      <c r="Z74">
        <f t="shared" si="64"/>
        <v>0</v>
      </c>
      <c r="AA74">
        <f t="shared" si="50"/>
        <v>500</v>
      </c>
      <c r="AB74">
        <f t="shared" si="51"/>
        <v>33.333333333333336</v>
      </c>
      <c r="AC74">
        <f t="shared" si="52"/>
        <v>3.1666666666666665</v>
      </c>
    </row>
    <row r="75" spans="1:55" x14ac:dyDescent="0.25">
      <c r="A75" s="1">
        <v>10</v>
      </c>
      <c r="B75" s="1" t="s">
        <v>28</v>
      </c>
      <c r="C75" s="1">
        <v>7</v>
      </c>
      <c r="D75" s="1">
        <v>4</v>
      </c>
      <c r="E75" s="1">
        <v>3</v>
      </c>
      <c r="F75" s="1">
        <v>8</v>
      </c>
      <c r="G75" s="1">
        <v>6</v>
      </c>
      <c r="H75" s="1">
        <v>1</v>
      </c>
      <c r="I75">
        <f t="shared" si="53"/>
        <v>70</v>
      </c>
      <c r="J75">
        <f t="shared" si="54"/>
        <v>40</v>
      </c>
      <c r="K75">
        <f t="shared" si="55"/>
        <v>30</v>
      </c>
      <c r="L75">
        <f t="shared" si="56"/>
        <v>80</v>
      </c>
      <c r="M75">
        <f t="shared" si="57"/>
        <v>60</v>
      </c>
      <c r="N75">
        <f t="shared" si="58"/>
        <v>10</v>
      </c>
      <c r="O75">
        <v>4</v>
      </c>
      <c r="P75">
        <v>3</v>
      </c>
      <c r="Q75">
        <v>5</v>
      </c>
      <c r="R75">
        <v>2</v>
      </c>
      <c r="S75">
        <v>1</v>
      </c>
      <c r="T75">
        <v>0</v>
      </c>
      <c r="U75">
        <f t="shared" si="59"/>
        <v>280</v>
      </c>
      <c r="V75">
        <f t="shared" si="60"/>
        <v>120</v>
      </c>
      <c r="W75">
        <f t="shared" si="61"/>
        <v>150</v>
      </c>
      <c r="X75">
        <f t="shared" si="62"/>
        <v>160</v>
      </c>
      <c r="Y75">
        <f t="shared" si="63"/>
        <v>60</v>
      </c>
      <c r="Z75">
        <f t="shared" si="64"/>
        <v>0</v>
      </c>
      <c r="AA75">
        <f t="shared" si="50"/>
        <v>770</v>
      </c>
      <c r="AB75">
        <f t="shared" si="51"/>
        <v>51.333333333333336</v>
      </c>
      <c r="AC75">
        <f t="shared" si="52"/>
        <v>4.833333333333333</v>
      </c>
    </row>
    <row r="76" spans="1:55" x14ac:dyDescent="0.25">
      <c r="A76" s="1">
        <v>11</v>
      </c>
      <c r="B76" s="1" t="s">
        <v>28</v>
      </c>
      <c r="C76" s="1">
        <v>5</v>
      </c>
      <c r="D76" s="1">
        <v>2</v>
      </c>
      <c r="E76" s="1">
        <v>3</v>
      </c>
      <c r="F76" s="1">
        <v>9</v>
      </c>
      <c r="G76" s="1">
        <v>2</v>
      </c>
      <c r="H76" s="1">
        <v>2</v>
      </c>
      <c r="I76">
        <f t="shared" si="53"/>
        <v>50</v>
      </c>
      <c r="J76">
        <f t="shared" si="54"/>
        <v>20</v>
      </c>
      <c r="K76">
        <f t="shared" si="55"/>
        <v>30</v>
      </c>
      <c r="L76">
        <f t="shared" si="56"/>
        <v>90</v>
      </c>
      <c r="M76">
        <f t="shared" si="57"/>
        <v>20</v>
      </c>
      <c r="N76">
        <f t="shared" si="58"/>
        <v>20</v>
      </c>
      <c r="O76">
        <v>5</v>
      </c>
      <c r="P76">
        <v>0</v>
      </c>
      <c r="Q76">
        <v>2</v>
      </c>
      <c r="R76">
        <v>4</v>
      </c>
      <c r="S76">
        <v>3</v>
      </c>
      <c r="T76">
        <v>1</v>
      </c>
      <c r="U76">
        <f t="shared" si="59"/>
        <v>250</v>
      </c>
      <c r="V76">
        <f t="shared" si="60"/>
        <v>0</v>
      </c>
      <c r="W76">
        <f t="shared" si="61"/>
        <v>60</v>
      </c>
      <c r="X76">
        <f t="shared" si="62"/>
        <v>360</v>
      </c>
      <c r="Y76">
        <f t="shared" si="63"/>
        <v>60</v>
      </c>
      <c r="Z76">
        <f t="shared" si="64"/>
        <v>20</v>
      </c>
      <c r="AA76">
        <f t="shared" si="50"/>
        <v>750</v>
      </c>
      <c r="AB76">
        <f t="shared" si="51"/>
        <v>50</v>
      </c>
      <c r="AC76">
        <f t="shared" si="52"/>
        <v>3.8333333333333335</v>
      </c>
    </row>
    <row r="77" spans="1:55" x14ac:dyDescent="0.25">
      <c r="A77" s="1">
        <v>12</v>
      </c>
      <c r="B77" s="1" t="s">
        <v>28</v>
      </c>
      <c r="C77" s="1">
        <v>3</v>
      </c>
      <c r="D77" s="1">
        <v>1</v>
      </c>
      <c r="E77" s="1">
        <v>5</v>
      </c>
      <c r="F77" s="1">
        <v>8</v>
      </c>
      <c r="G77" s="1">
        <v>3</v>
      </c>
      <c r="H77" s="1">
        <v>2</v>
      </c>
      <c r="I77">
        <f t="shared" si="53"/>
        <v>30</v>
      </c>
      <c r="J77">
        <f t="shared" si="54"/>
        <v>10</v>
      </c>
      <c r="K77">
        <f t="shared" si="55"/>
        <v>50</v>
      </c>
      <c r="L77">
        <f t="shared" si="56"/>
        <v>80</v>
      </c>
      <c r="M77">
        <f t="shared" si="57"/>
        <v>30</v>
      </c>
      <c r="N77">
        <f t="shared" si="58"/>
        <v>20</v>
      </c>
      <c r="O77">
        <v>5</v>
      </c>
      <c r="P77">
        <v>0</v>
      </c>
      <c r="Q77">
        <v>2</v>
      </c>
      <c r="R77">
        <v>1</v>
      </c>
      <c r="S77">
        <v>3</v>
      </c>
      <c r="T77">
        <v>4</v>
      </c>
      <c r="U77">
        <f t="shared" si="59"/>
        <v>150</v>
      </c>
      <c r="V77">
        <f t="shared" si="60"/>
        <v>0</v>
      </c>
      <c r="W77">
        <f t="shared" si="61"/>
        <v>100</v>
      </c>
      <c r="X77">
        <f t="shared" si="62"/>
        <v>80</v>
      </c>
      <c r="Y77">
        <f t="shared" si="63"/>
        <v>90</v>
      </c>
      <c r="Z77">
        <f t="shared" si="64"/>
        <v>80</v>
      </c>
      <c r="AA77">
        <f t="shared" si="50"/>
        <v>500</v>
      </c>
      <c r="AB77">
        <f t="shared" si="51"/>
        <v>33.333333333333336</v>
      </c>
      <c r="AC77">
        <f t="shared" si="52"/>
        <v>3.6666666666666665</v>
      </c>
    </row>
    <row r="78" spans="1:55" x14ac:dyDescent="0.25">
      <c r="A78" s="1">
        <v>13</v>
      </c>
      <c r="B78" s="1" t="s">
        <v>28</v>
      </c>
      <c r="C78" s="1">
        <v>4</v>
      </c>
      <c r="D78" s="1">
        <v>1</v>
      </c>
      <c r="E78" s="1">
        <v>5</v>
      </c>
      <c r="F78" s="1">
        <v>9</v>
      </c>
      <c r="G78" s="1">
        <v>3</v>
      </c>
      <c r="H78" s="1">
        <v>4</v>
      </c>
      <c r="I78">
        <f t="shared" si="53"/>
        <v>40</v>
      </c>
      <c r="J78">
        <f t="shared" si="54"/>
        <v>10</v>
      </c>
      <c r="K78">
        <f t="shared" si="55"/>
        <v>50</v>
      </c>
      <c r="L78">
        <f t="shared" si="56"/>
        <v>90</v>
      </c>
      <c r="M78">
        <f t="shared" si="57"/>
        <v>30</v>
      </c>
      <c r="N78">
        <f t="shared" si="58"/>
        <v>40</v>
      </c>
      <c r="O78">
        <v>1</v>
      </c>
      <c r="P78">
        <v>2</v>
      </c>
      <c r="Q78">
        <v>5</v>
      </c>
      <c r="R78">
        <v>2</v>
      </c>
      <c r="S78">
        <v>4</v>
      </c>
      <c r="T78">
        <v>1</v>
      </c>
      <c r="U78">
        <f t="shared" si="59"/>
        <v>40</v>
      </c>
      <c r="V78">
        <f t="shared" si="60"/>
        <v>20</v>
      </c>
      <c r="W78">
        <f t="shared" si="61"/>
        <v>250</v>
      </c>
      <c r="X78">
        <f t="shared" si="62"/>
        <v>180</v>
      </c>
      <c r="Y78">
        <f t="shared" si="63"/>
        <v>120</v>
      </c>
      <c r="Z78">
        <f t="shared" si="64"/>
        <v>40</v>
      </c>
      <c r="AA78">
        <f t="shared" si="50"/>
        <v>650</v>
      </c>
      <c r="AB78">
        <f t="shared" si="51"/>
        <v>43.333333333333336</v>
      </c>
      <c r="AC78">
        <f t="shared" si="52"/>
        <v>4.333333333333333</v>
      </c>
    </row>
    <row r="79" spans="1:55" x14ac:dyDescent="0.25">
      <c r="A79" s="1">
        <v>14</v>
      </c>
      <c r="B79" s="1" t="s">
        <v>28</v>
      </c>
      <c r="C79" s="1">
        <v>6</v>
      </c>
      <c r="D79" s="1">
        <v>1</v>
      </c>
      <c r="E79" s="1">
        <v>1</v>
      </c>
      <c r="F79" s="1">
        <v>3</v>
      </c>
      <c r="G79" s="1">
        <v>6</v>
      </c>
      <c r="H79" s="1">
        <v>6</v>
      </c>
      <c r="I79">
        <f t="shared" si="53"/>
        <v>60</v>
      </c>
      <c r="J79">
        <f t="shared" si="54"/>
        <v>10</v>
      </c>
      <c r="K79">
        <f t="shared" si="55"/>
        <v>10</v>
      </c>
      <c r="L79">
        <f t="shared" si="56"/>
        <v>30</v>
      </c>
      <c r="M79">
        <f t="shared" si="57"/>
        <v>60</v>
      </c>
      <c r="N79">
        <f t="shared" si="58"/>
        <v>60</v>
      </c>
      <c r="O79">
        <v>4</v>
      </c>
      <c r="P79">
        <v>2</v>
      </c>
      <c r="Q79">
        <v>0</v>
      </c>
      <c r="R79">
        <v>2</v>
      </c>
      <c r="S79">
        <v>3</v>
      </c>
      <c r="T79">
        <v>4</v>
      </c>
      <c r="U79">
        <f t="shared" si="59"/>
        <v>240</v>
      </c>
      <c r="V79">
        <f t="shared" si="60"/>
        <v>20</v>
      </c>
      <c r="W79">
        <f t="shared" si="61"/>
        <v>0</v>
      </c>
      <c r="X79">
        <f t="shared" si="62"/>
        <v>60</v>
      </c>
      <c r="Y79">
        <f t="shared" si="63"/>
        <v>180</v>
      </c>
      <c r="Z79">
        <f t="shared" si="64"/>
        <v>240</v>
      </c>
      <c r="AA79">
        <f t="shared" si="50"/>
        <v>740</v>
      </c>
      <c r="AB79">
        <f t="shared" si="51"/>
        <v>49.333333333333336</v>
      </c>
      <c r="AC79">
        <f t="shared" si="52"/>
        <v>3.8333333333333335</v>
      </c>
    </row>
    <row r="80" spans="1:55" x14ac:dyDescent="0.25">
      <c r="A80" s="1">
        <v>15</v>
      </c>
      <c r="B80" s="1" t="s">
        <v>28</v>
      </c>
      <c r="C80" s="1">
        <v>1</v>
      </c>
      <c r="D80" s="1">
        <v>1</v>
      </c>
      <c r="E80" s="1">
        <v>1</v>
      </c>
      <c r="F80" s="1">
        <v>8</v>
      </c>
      <c r="G80" s="1">
        <v>4</v>
      </c>
      <c r="H80" s="1">
        <v>5</v>
      </c>
      <c r="I80">
        <f t="shared" si="53"/>
        <v>10</v>
      </c>
      <c r="J80">
        <f t="shared" si="54"/>
        <v>10</v>
      </c>
      <c r="K80">
        <f t="shared" si="55"/>
        <v>10</v>
      </c>
      <c r="L80">
        <f t="shared" si="56"/>
        <v>80</v>
      </c>
      <c r="M80">
        <f t="shared" si="57"/>
        <v>40</v>
      </c>
      <c r="N80">
        <f t="shared" si="58"/>
        <v>50</v>
      </c>
      <c r="O80">
        <v>0</v>
      </c>
      <c r="P80">
        <v>2</v>
      </c>
      <c r="Q80">
        <v>5</v>
      </c>
      <c r="R80">
        <v>2</v>
      </c>
      <c r="S80">
        <v>4</v>
      </c>
      <c r="T80">
        <v>2</v>
      </c>
      <c r="U80">
        <f t="shared" si="59"/>
        <v>0</v>
      </c>
      <c r="V80">
        <f t="shared" si="60"/>
        <v>20</v>
      </c>
      <c r="W80">
        <f t="shared" si="61"/>
        <v>50</v>
      </c>
      <c r="X80">
        <f t="shared" si="62"/>
        <v>160</v>
      </c>
      <c r="Y80">
        <f t="shared" si="63"/>
        <v>160</v>
      </c>
      <c r="Z80">
        <f t="shared" si="64"/>
        <v>100</v>
      </c>
      <c r="AA80">
        <f t="shared" si="50"/>
        <v>490</v>
      </c>
      <c r="AB80">
        <f t="shared" si="51"/>
        <v>32.666666666666664</v>
      </c>
      <c r="AC80">
        <f t="shared" si="52"/>
        <v>3.3333333333333335</v>
      </c>
    </row>
    <row r="81" spans="1:29" x14ac:dyDescent="0.25">
      <c r="A81" s="1">
        <v>16</v>
      </c>
      <c r="B81" s="1" t="s">
        <v>28</v>
      </c>
      <c r="C81" s="1">
        <v>4</v>
      </c>
      <c r="D81" s="1">
        <v>6</v>
      </c>
      <c r="E81" s="1">
        <v>3</v>
      </c>
      <c r="F81" s="1">
        <v>6</v>
      </c>
      <c r="G81" s="1">
        <v>5</v>
      </c>
      <c r="H81" s="1">
        <v>1</v>
      </c>
      <c r="I81">
        <f t="shared" si="53"/>
        <v>40</v>
      </c>
      <c r="J81">
        <f t="shared" si="54"/>
        <v>60</v>
      </c>
      <c r="K81">
        <f t="shared" si="55"/>
        <v>30</v>
      </c>
      <c r="L81">
        <f t="shared" si="56"/>
        <v>60</v>
      </c>
      <c r="M81">
        <f t="shared" si="57"/>
        <v>50</v>
      </c>
      <c r="N81">
        <f t="shared" si="58"/>
        <v>10</v>
      </c>
      <c r="O81">
        <v>1</v>
      </c>
      <c r="P81">
        <v>4</v>
      </c>
      <c r="Q81">
        <v>5</v>
      </c>
      <c r="R81">
        <v>2</v>
      </c>
      <c r="S81">
        <v>0</v>
      </c>
      <c r="T81">
        <v>3</v>
      </c>
      <c r="U81">
        <f t="shared" si="59"/>
        <v>40</v>
      </c>
      <c r="V81">
        <f t="shared" si="60"/>
        <v>240</v>
      </c>
      <c r="W81">
        <f t="shared" si="61"/>
        <v>150</v>
      </c>
      <c r="X81">
        <f t="shared" si="62"/>
        <v>120</v>
      </c>
      <c r="Y81">
        <f t="shared" si="63"/>
        <v>0</v>
      </c>
      <c r="Z81">
        <f t="shared" si="64"/>
        <v>30</v>
      </c>
      <c r="AA81">
        <f t="shared" si="50"/>
        <v>580</v>
      </c>
      <c r="AB81">
        <f t="shared" si="51"/>
        <v>38.666666666666664</v>
      </c>
      <c r="AC81">
        <f t="shared" si="52"/>
        <v>4.166666666666667</v>
      </c>
    </row>
    <row r="82" spans="1:29" x14ac:dyDescent="0.25">
      <c r="A82" s="1">
        <v>17</v>
      </c>
      <c r="B82" s="1" t="s">
        <v>28</v>
      </c>
      <c r="C82" s="1">
        <v>3</v>
      </c>
      <c r="D82" s="1">
        <v>1</v>
      </c>
      <c r="E82" s="1">
        <v>5</v>
      </c>
      <c r="F82" s="1">
        <v>7</v>
      </c>
      <c r="G82" s="1">
        <v>6</v>
      </c>
      <c r="H82" s="1">
        <v>1</v>
      </c>
      <c r="I82">
        <f t="shared" si="53"/>
        <v>30</v>
      </c>
      <c r="J82">
        <f t="shared" si="54"/>
        <v>10</v>
      </c>
      <c r="K82">
        <f t="shared" si="55"/>
        <v>50</v>
      </c>
      <c r="L82">
        <f t="shared" si="56"/>
        <v>70</v>
      </c>
      <c r="M82">
        <f t="shared" si="57"/>
        <v>60</v>
      </c>
      <c r="N82">
        <f t="shared" si="58"/>
        <v>10</v>
      </c>
      <c r="O82">
        <v>1</v>
      </c>
      <c r="P82">
        <v>0</v>
      </c>
      <c r="Q82">
        <v>4</v>
      </c>
      <c r="R82">
        <v>5</v>
      </c>
      <c r="S82">
        <v>3</v>
      </c>
      <c r="T82">
        <v>2</v>
      </c>
      <c r="U82">
        <f t="shared" si="59"/>
        <v>30</v>
      </c>
      <c r="V82">
        <f t="shared" si="60"/>
        <v>0</v>
      </c>
      <c r="W82">
        <f t="shared" si="61"/>
        <v>200</v>
      </c>
      <c r="X82">
        <f t="shared" si="62"/>
        <v>350</v>
      </c>
      <c r="Y82">
        <f t="shared" si="63"/>
        <v>180</v>
      </c>
      <c r="Z82">
        <f t="shared" si="64"/>
        <v>20</v>
      </c>
      <c r="AA82">
        <f t="shared" si="50"/>
        <v>780</v>
      </c>
      <c r="AB82">
        <f t="shared" si="51"/>
        <v>52</v>
      </c>
      <c r="AC82">
        <f t="shared" si="52"/>
        <v>3.8333333333333335</v>
      </c>
    </row>
    <row r="83" spans="1:29" x14ac:dyDescent="0.25">
      <c r="A83" s="1">
        <v>18</v>
      </c>
      <c r="B83" s="1" t="s">
        <v>28</v>
      </c>
      <c r="C83" s="1">
        <v>3</v>
      </c>
      <c r="D83" s="1">
        <v>8</v>
      </c>
      <c r="E83" s="1">
        <v>1</v>
      </c>
      <c r="F83" s="1">
        <v>6</v>
      </c>
      <c r="G83" s="1">
        <v>8</v>
      </c>
      <c r="H83" s="1">
        <v>1</v>
      </c>
      <c r="I83">
        <f t="shared" si="53"/>
        <v>30</v>
      </c>
      <c r="J83">
        <f t="shared" si="54"/>
        <v>80</v>
      </c>
      <c r="K83">
        <f t="shared" si="55"/>
        <v>10</v>
      </c>
      <c r="L83">
        <f t="shared" si="56"/>
        <v>60</v>
      </c>
      <c r="M83">
        <f t="shared" si="57"/>
        <v>80</v>
      </c>
      <c r="N83">
        <f t="shared" si="58"/>
        <v>10</v>
      </c>
      <c r="O83">
        <v>2</v>
      </c>
      <c r="P83">
        <v>4</v>
      </c>
      <c r="Q83">
        <v>4</v>
      </c>
      <c r="R83">
        <v>2</v>
      </c>
      <c r="S83">
        <v>3</v>
      </c>
      <c r="T83">
        <v>0</v>
      </c>
      <c r="U83">
        <f t="shared" si="59"/>
        <v>60</v>
      </c>
      <c r="V83">
        <f t="shared" si="60"/>
        <v>320</v>
      </c>
      <c r="W83">
        <f t="shared" si="61"/>
        <v>40</v>
      </c>
      <c r="X83">
        <f t="shared" si="62"/>
        <v>120</v>
      </c>
      <c r="Y83">
        <f t="shared" si="63"/>
        <v>240</v>
      </c>
      <c r="Z83">
        <f t="shared" si="64"/>
        <v>0</v>
      </c>
      <c r="AA83">
        <f t="shared" si="50"/>
        <v>780</v>
      </c>
      <c r="AB83">
        <f t="shared" si="51"/>
        <v>52</v>
      </c>
      <c r="AC83">
        <f t="shared" si="52"/>
        <v>4.5</v>
      </c>
    </row>
    <row r="84" spans="1:29" x14ac:dyDescent="0.25">
      <c r="A84" s="1">
        <v>19</v>
      </c>
      <c r="B84" s="1" t="s">
        <v>28</v>
      </c>
      <c r="C84" s="1">
        <v>9</v>
      </c>
      <c r="D84" s="1">
        <v>8</v>
      </c>
      <c r="E84" s="1">
        <v>8</v>
      </c>
      <c r="F84" s="1">
        <v>10</v>
      </c>
      <c r="G84" s="1">
        <v>9</v>
      </c>
      <c r="H84" s="1">
        <v>1</v>
      </c>
      <c r="I84">
        <f t="shared" si="53"/>
        <v>90</v>
      </c>
      <c r="J84">
        <f t="shared" si="54"/>
        <v>80</v>
      </c>
      <c r="K84">
        <f t="shared" si="55"/>
        <v>80</v>
      </c>
      <c r="L84">
        <f t="shared" si="56"/>
        <v>100</v>
      </c>
      <c r="M84">
        <f t="shared" si="57"/>
        <v>90</v>
      </c>
      <c r="N84">
        <f t="shared" si="58"/>
        <v>10</v>
      </c>
      <c r="O84">
        <v>4</v>
      </c>
      <c r="P84">
        <v>3</v>
      </c>
      <c r="Q84">
        <v>4</v>
      </c>
      <c r="R84">
        <v>1</v>
      </c>
      <c r="S84">
        <v>3</v>
      </c>
      <c r="T84">
        <v>0</v>
      </c>
      <c r="U84">
        <f t="shared" si="59"/>
        <v>360</v>
      </c>
      <c r="V84">
        <f t="shared" si="60"/>
        <v>240</v>
      </c>
      <c r="W84">
        <f t="shared" si="61"/>
        <v>320</v>
      </c>
      <c r="X84">
        <f t="shared" si="62"/>
        <v>100</v>
      </c>
      <c r="Y84">
        <f t="shared" si="63"/>
        <v>270</v>
      </c>
      <c r="Z84">
        <f t="shared" si="64"/>
        <v>0</v>
      </c>
      <c r="AA84">
        <f t="shared" si="50"/>
        <v>1290</v>
      </c>
      <c r="AB84">
        <f t="shared" si="51"/>
        <v>86</v>
      </c>
      <c r="AC84">
        <f t="shared" si="52"/>
        <v>7.5</v>
      </c>
    </row>
    <row r="85" spans="1:29" x14ac:dyDescent="0.25">
      <c r="A85" s="1">
        <v>20</v>
      </c>
      <c r="B85" s="1" t="s">
        <v>28</v>
      </c>
      <c r="C85" s="1">
        <v>2</v>
      </c>
      <c r="D85" s="1">
        <v>1</v>
      </c>
      <c r="E85" s="1">
        <v>4</v>
      </c>
      <c r="F85" s="1">
        <v>8</v>
      </c>
      <c r="G85" s="1">
        <v>4</v>
      </c>
      <c r="H85" s="1">
        <v>1</v>
      </c>
      <c r="I85">
        <f t="shared" si="53"/>
        <v>20</v>
      </c>
      <c r="J85">
        <f t="shared" si="54"/>
        <v>10</v>
      </c>
      <c r="K85">
        <f t="shared" si="55"/>
        <v>40</v>
      </c>
      <c r="L85">
        <f t="shared" si="56"/>
        <v>80</v>
      </c>
      <c r="M85">
        <f t="shared" si="57"/>
        <v>40</v>
      </c>
      <c r="N85">
        <f t="shared" si="58"/>
        <v>10</v>
      </c>
      <c r="O85">
        <v>4</v>
      </c>
      <c r="P85">
        <v>1</v>
      </c>
      <c r="Q85">
        <v>5</v>
      </c>
      <c r="R85">
        <v>3</v>
      </c>
      <c r="S85">
        <v>2</v>
      </c>
      <c r="T85">
        <v>0</v>
      </c>
      <c r="U85">
        <f t="shared" si="59"/>
        <v>80</v>
      </c>
      <c r="V85">
        <f t="shared" si="60"/>
        <v>10</v>
      </c>
      <c r="W85">
        <f t="shared" si="61"/>
        <v>200</v>
      </c>
      <c r="X85">
        <f t="shared" si="62"/>
        <v>240</v>
      </c>
      <c r="Y85">
        <f t="shared" si="63"/>
        <v>80</v>
      </c>
      <c r="Z85">
        <f t="shared" si="64"/>
        <v>0</v>
      </c>
      <c r="AA85">
        <f t="shared" si="50"/>
        <v>610</v>
      </c>
      <c r="AB85">
        <f t="shared" si="51"/>
        <v>40.666666666666664</v>
      </c>
      <c r="AC85">
        <f t="shared" si="52"/>
        <v>3.3333333333333335</v>
      </c>
    </row>
    <row r="86" spans="1:29" x14ac:dyDescent="0.25">
      <c r="A86" s="1">
        <v>21</v>
      </c>
      <c r="B86" s="1" t="s">
        <v>28</v>
      </c>
      <c r="C86" s="1">
        <v>2</v>
      </c>
      <c r="D86" s="1">
        <v>2</v>
      </c>
      <c r="E86" s="1">
        <v>5</v>
      </c>
      <c r="F86" s="1">
        <v>7</v>
      </c>
      <c r="G86" s="1">
        <v>2</v>
      </c>
      <c r="H86" s="1">
        <v>1</v>
      </c>
      <c r="I86">
        <f t="shared" si="53"/>
        <v>20</v>
      </c>
      <c r="J86">
        <f t="shared" si="54"/>
        <v>20</v>
      </c>
      <c r="K86">
        <f t="shared" si="55"/>
        <v>50</v>
      </c>
      <c r="L86">
        <f t="shared" si="56"/>
        <v>70</v>
      </c>
      <c r="M86">
        <f t="shared" si="57"/>
        <v>20</v>
      </c>
      <c r="N86">
        <f t="shared" si="58"/>
        <v>10</v>
      </c>
      <c r="O86">
        <v>3</v>
      </c>
      <c r="P86">
        <v>4</v>
      </c>
      <c r="Q86">
        <v>2</v>
      </c>
      <c r="R86">
        <v>2</v>
      </c>
      <c r="S86">
        <v>3</v>
      </c>
      <c r="T86">
        <v>1</v>
      </c>
      <c r="U86">
        <f t="shared" si="59"/>
        <v>60</v>
      </c>
      <c r="V86">
        <f t="shared" si="60"/>
        <v>80</v>
      </c>
      <c r="W86">
        <f t="shared" si="61"/>
        <v>100</v>
      </c>
      <c r="X86">
        <f t="shared" si="62"/>
        <v>140</v>
      </c>
      <c r="Y86">
        <f t="shared" si="63"/>
        <v>60</v>
      </c>
      <c r="Z86">
        <f t="shared" si="64"/>
        <v>10</v>
      </c>
      <c r="AA86">
        <f t="shared" si="50"/>
        <v>450</v>
      </c>
      <c r="AB86">
        <f t="shared" si="51"/>
        <v>30</v>
      </c>
      <c r="AC86">
        <f t="shared" si="52"/>
        <v>3.1666666666666665</v>
      </c>
    </row>
    <row r="87" spans="1:29" x14ac:dyDescent="0.25">
      <c r="A87" s="1">
        <v>23</v>
      </c>
      <c r="B87" s="1" t="s">
        <v>28</v>
      </c>
      <c r="C87" s="1">
        <v>3</v>
      </c>
      <c r="D87" s="1">
        <v>5</v>
      </c>
      <c r="E87" s="1">
        <v>6</v>
      </c>
      <c r="F87" s="1">
        <v>7</v>
      </c>
      <c r="G87" s="1">
        <v>5</v>
      </c>
      <c r="H87" s="1">
        <v>1</v>
      </c>
      <c r="I87">
        <f t="shared" si="53"/>
        <v>30</v>
      </c>
      <c r="J87">
        <f t="shared" si="54"/>
        <v>50</v>
      </c>
      <c r="K87">
        <f t="shared" si="55"/>
        <v>60</v>
      </c>
      <c r="L87">
        <f t="shared" si="56"/>
        <v>70</v>
      </c>
      <c r="M87">
        <f t="shared" si="57"/>
        <v>50</v>
      </c>
      <c r="N87">
        <f t="shared" si="58"/>
        <v>10</v>
      </c>
      <c r="O87">
        <v>4</v>
      </c>
      <c r="P87">
        <v>2</v>
      </c>
      <c r="Q87">
        <v>5</v>
      </c>
      <c r="R87">
        <v>2</v>
      </c>
      <c r="S87">
        <v>2</v>
      </c>
      <c r="T87">
        <v>0</v>
      </c>
      <c r="U87">
        <f t="shared" si="59"/>
        <v>120</v>
      </c>
      <c r="V87">
        <f t="shared" si="60"/>
        <v>100</v>
      </c>
      <c r="W87">
        <f t="shared" si="61"/>
        <v>300</v>
      </c>
      <c r="X87">
        <f t="shared" si="62"/>
        <v>140</v>
      </c>
      <c r="Y87">
        <f t="shared" si="63"/>
        <v>100</v>
      </c>
      <c r="Z87">
        <f t="shared" si="64"/>
        <v>0</v>
      </c>
      <c r="AA87">
        <f t="shared" si="50"/>
        <v>760</v>
      </c>
      <c r="AB87">
        <f t="shared" si="51"/>
        <v>50.666666666666664</v>
      </c>
      <c r="AC87">
        <f t="shared" si="52"/>
        <v>4.5</v>
      </c>
    </row>
    <row r="88" spans="1:29" x14ac:dyDescent="0.25">
      <c r="A88" s="1">
        <v>24</v>
      </c>
      <c r="B88" s="1" t="s">
        <v>28</v>
      </c>
      <c r="C88" s="1">
        <v>4</v>
      </c>
      <c r="D88" s="1">
        <v>1</v>
      </c>
      <c r="E88" s="1">
        <v>5</v>
      </c>
      <c r="F88" s="1">
        <v>10</v>
      </c>
      <c r="G88" s="1">
        <v>4</v>
      </c>
      <c r="H88" s="1">
        <v>1</v>
      </c>
      <c r="I88">
        <f t="shared" si="53"/>
        <v>40</v>
      </c>
      <c r="J88">
        <f t="shared" si="54"/>
        <v>10</v>
      </c>
      <c r="K88">
        <f t="shared" si="55"/>
        <v>50</v>
      </c>
      <c r="L88">
        <f t="shared" si="56"/>
        <v>100</v>
      </c>
      <c r="M88">
        <f t="shared" si="57"/>
        <v>40</v>
      </c>
      <c r="N88">
        <f t="shared" si="58"/>
        <v>10</v>
      </c>
      <c r="O88">
        <v>4</v>
      </c>
      <c r="P88">
        <v>2</v>
      </c>
      <c r="Q88">
        <v>3</v>
      </c>
      <c r="R88">
        <v>3</v>
      </c>
      <c r="S88">
        <v>3</v>
      </c>
      <c r="T88">
        <v>0</v>
      </c>
      <c r="U88">
        <f t="shared" si="59"/>
        <v>160</v>
      </c>
      <c r="V88">
        <f t="shared" si="60"/>
        <v>20</v>
      </c>
      <c r="W88">
        <f t="shared" si="61"/>
        <v>150</v>
      </c>
      <c r="X88">
        <f t="shared" si="62"/>
        <v>300</v>
      </c>
      <c r="Y88">
        <f t="shared" si="63"/>
        <v>120</v>
      </c>
      <c r="Z88">
        <f t="shared" si="64"/>
        <v>0</v>
      </c>
      <c r="AA88">
        <f t="shared" si="50"/>
        <v>750</v>
      </c>
      <c r="AB88">
        <f t="shared" si="51"/>
        <v>50</v>
      </c>
      <c r="AC88">
        <f t="shared" si="52"/>
        <v>4.166666666666667</v>
      </c>
    </row>
    <row r="89" spans="1:29" x14ac:dyDescent="0.25">
      <c r="A89" s="1">
        <v>25</v>
      </c>
      <c r="B89" s="1" t="s">
        <v>28</v>
      </c>
      <c r="C89" s="1">
        <v>3</v>
      </c>
      <c r="D89" s="1">
        <v>1</v>
      </c>
      <c r="E89" s="1">
        <v>2</v>
      </c>
      <c r="F89" s="1">
        <v>9</v>
      </c>
      <c r="G89" s="1">
        <v>3</v>
      </c>
      <c r="H89" s="1">
        <v>2</v>
      </c>
      <c r="I89">
        <f t="shared" si="53"/>
        <v>30</v>
      </c>
      <c r="J89">
        <f t="shared" si="54"/>
        <v>10</v>
      </c>
      <c r="K89">
        <f t="shared" si="55"/>
        <v>20</v>
      </c>
      <c r="L89">
        <f t="shared" si="56"/>
        <v>90</v>
      </c>
      <c r="M89">
        <f t="shared" si="57"/>
        <v>30</v>
      </c>
      <c r="N89">
        <f t="shared" si="58"/>
        <v>20</v>
      </c>
      <c r="O89">
        <v>4</v>
      </c>
      <c r="P89">
        <v>2</v>
      </c>
      <c r="Q89">
        <v>5</v>
      </c>
      <c r="R89">
        <v>2</v>
      </c>
      <c r="S89">
        <v>2</v>
      </c>
      <c r="T89">
        <v>0</v>
      </c>
      <c r="U89">
        <f t="shared" si="59"/>
        <v>120</v>
      </c>
      <c r="V89">
        <f t="shared" si="60"/>
        <v>20</v>
      </c>
      <c r="W89">
        <f t="shared" si="61"/>
        <v>100</v>
      </c>
      <c r="X89">
        <f t="shared" si="62"/>
        <v>180</v>
      </c>
      <c r="Y89">
        <f t="shared" si="63"/>
        <v>60</v>
      </c>
      <c r="Z89">
        <f t="shared" si="64"/>
        <v>0</v>
      </c>
      <c r="AA89">
        <f t="shared" si="50"/>
        <v>480</v>
      </c>
      <c r="AB89">
        <f t="shared" si="51"/>
        <v>32</v>
      </c>
      <c r="AC89">
        <f t="shared" si="52"/>
        <v>3.3333333333333335</v>
      </c>
    </row>
    <row r="90" spans="1:29" x14ac:dyDescent="0.25">
      <c r="A90" s="1">
        <v>26</v>
      </c>
      <c r="B90" s="1" t="s">
        <v>28</v>
      </c>
      <c r="C90" s="1">
        <v>5</v>
      </c>
      <c r="D90" s="1">
        <v>1</v>
      </c>
      <c r="E90" s="1">
        <v>3</v>
      </c>
      <c r="F90" s="1">
        <v>7</v>
      </c>
      <c r="G90" s="1">
        <v>7</v>
      </c>
      <c r="H90" s="1">
        <v>8</v>
      </c>
      <c r="I90">
        <f t="shared" si="53"/>
        <v>50</v>
      </c>
      <c r="J90">
        <f t="shared" si="54"/>
        <v>10</v>
      </c>
      <c r="K90">
        <f t="shared" si="55"/>
        <v>30</v>
      </c>
      <c r="L90">
        <f t="shared" si="56"/>
        <v>70</v>
      </c>
      <c r="M90">
        <f t="shared" si="57"/>
        <v>70</v>
      </c>
      <c r="N90">
        <f t="shared" si="58"/>
        <v>80</v>
      </c>
      <c r="O90">
        <v>3</v>
      </c>
      <c r="P90">
        <v>0</v>
      </c>
      <c r="Q90">
        <v>4</v>
      </c>
      <c r="R90">
        <v>2</v>
      </c>
      <c r="S90">
        <v>1</v>
      </c>
      <c r="T90">
        <v>5</v>
      </c>
      <c r="U90">
        <f t="shared" si="59"/>
        <v>150</v>
      </c>
      <c r="V90">
        <f t="shared" si="60"/>
        <v>0</v>
      </c>
      <c r="W90">
        <f t="shared" si="61"/>
        <v>120</v>
      </c>
      <c r="X90">
        <f t="shared" si="62"/>
        <v>140</v>
      </c>
      <c r="Y90">
        <f t="shared" si="63"/>
        <v>70</v>
      </c>
      <c r="Z90">
        <f t="shared" si="64"/>
        <v>400</v>
      </c>
      <c r="AA90">
        <f t="shared" si="50"/>
        <v>880</v>
      </c>
      <c r="AB90">
        <f t="shared" si="51"/>
        <v>58.666666666666664</v>
      </c>
      <c r="AC90">
        <f t="shared" si="52"/>
        <v>5.166666666666667</v>
      </c>
    </row>
    <row r="91" spans="1:29" x14ac:dyDescent="0.25">
      <c r="A91" s="1">
        <v>27</v>
      </c>
      <c r="B91" s="1" t="s">
        <v>28</v>
      </c>
      <c r="C91" s="1">
        <v>7</v>
      </c>
      <c r="D91" s="1">
        <v>8</v>
      </c>
      <c r="E91" s="1">
        <v>8</v>
      </c>
      <c r="F91" s="1">
        <v>6</v>
      </c>
      <c r="G91" s="1">
        <v>5</v>
      </c>
      <c r="H91" s="1">
        <v>7</v>
      </c>
      <c r="I91">
        <f t="shared" si="53"/>
        <v>70</v>
      </c>
      <c r="J91">
        <f t="shared" si="54"/>
        <v>80</v>
      </c>
      <c r="K91">
        <f t="shared" si="55"/>
        <v>80</v>
      </c>
      <c r="L91">
        <f t="shared" si="56"/>
        <v>60</v>
      </c>
      <c r="M91">
        <f t="shared" si="57"/>
        <v>50</v>
      </c>
      <c r="N91">
        <f t="shared" si="58"/>
        <v>70</v>
      </c>
      <c r="O91">
        <v>5</v>
      </c>
      <c r="P91">
        <v>2</v>
      </c>
      <c r="Q91">
        <v>2</v>
      </c>
      <c r="R91">
        <v>1</v>
      </c>
      <c r="S91">
        <v>4</v>
      </c>
      <c r="T91">
        <v>1</v>
      </c>
      <c r="U91">
        <f t="shared" si="59"/>
        <v>350</v>
      </c>
      <c r="V91">
        <f t="shared" si="60"/>
        <v>160</v>
      </c>
      <c r="W91">
        <f t="shared" si="61"/>
        <v>160</v>
      </c>
      <c r="X91">
        <f t="shared" si="62"/>
        <v>60</v>
      </c>
      <c r="Y91">
        <f t="shared" si="63"/>
        <v>200</v>
      </c>
      <c r="Z91">
        <f t="shared" si="64"/>
        <v>70</v>
      </c>
      <c r="AA91">
        <f t="shared" si="50"/>
        <v>1000</v>
      </c>
      <c r="AB91">
        <f t="shared" si="51"/>
        <v>66.666666666666671</v>
      </c>
      <c r="AC91">
        <f t="shared" si="52"/>
        <v>6.833333333333333</v>
      </c>
    </row>
    <row r="92" spans="1:29" x14ac:dyDescent="0.25">
      <c r="A92" s="1">
        <v>28</v>
      </c>
      <c r="B92" s="1" t="s">
        <v>28</v>
      </c>
      <c r="C92" s="1">
        <v>3</v>
      </c>
      <c r="D92" s="1">
        <v>3</v>
      </c>
      <c r="E92" s="1">
        <v>1</v>
      </c>
      <c r="F92" s="1">
        <v>3</v>
      </c>
      <c r="G92" s="1">
        <v>3</v>
      </c>
      <c r="H92" s="1">
        <v>3</v>
      </c>
      <c r="I92">
        <f t="shared" si="53"/>
        <v>30</v>
      </c>
      <c r="J92">
        <f t="shared" si="54"/>
        <v>30</v>
      </c>
      <c r="K92">
        <f t="shared" si="55"/>
        <v>10</v>
      </c>
      <c r="L92">
        <f t="shared" si="56"/>
        <v>30</v>
      </c>
      <c r="M92">
        <f t="shared" si="57"/>
        <v>30</v>
      </c>
      <c r="N92">
        <f t="shared" si="58"/>
        <v>30</v>
      </c>
      <c r="O92">
        <v>4</v>
      </c>
      <c r="P92">
        <v>0</v>
      </c>
      <c r="Q92">
        <v>4</v>
      </c>
      <c r="R92">
        <v>3</v>
      </c>
      <c r="S92">
        <v>2</v>
      </c>
      <c r="T92">
        <v>2</v>
      </c>
      <c r="U92">
        <f t="shared" si="59"/>
        <v>120</v>
      </c>
      <c r="V92">
        <f t="shared" si="60"/>
        <v>0</v>
      </c>
      <c r="W92">
        <f t="shared" si="61"/>
        <v>40</v>
      </c>
      <c r="X92">
        <f t="shared" si="62"/>
        <v>90</v>
      </c>
      <c r="Y92">
        <f t="shared" si="63"/>
        <v>60</v>
      </c>
      <c r="Z92">
        <f t="shared" si="64"/>
        <v>60</v>
      </c>
      <c r="AA92">
        <f t="shared" si="50"/>
        <v>370</v>
      </c>
      <c r="AB92">
        <f t="shared" si="51"/>
        <v>24.666666666666668</v>
      </c>
      <c r="AC92">
        <f t="shared" si="52"/>
        <v>2.6666666666666665</v>
      </c>
    </row>
    <row r="93" spans="1:29" x14ac:dyDescent="0.25">
      <c r="A93" s="1">
        <v>29</v>
      </c>
      <c r="B93" s="1" t="s">
        <v>28</v>
      </c>
      <c r="C93" s="1">
        <v>6</v>
      </c>
      <c r="D93" s="1">
        <v>1</v>
      </c>
      <c r="E93" s="1">
        <v>3</v>
      </c>
      <c r="F93" s="1">
        <v>8</v>
      </c>
      <c r="G93" s="1">
        <v>4</v>
      </c>
      <c r="H93" s="1">
        <v>1</v>
      </c>
      <c r="I93">
        <f t="shared" si="53"/>
        <v>60</v>
      </c>
      <c r="J93">
        <f t="shared" si="54"/>
        <v>10</v>
      </c>
      <c r="K93">
        <f t="shared" si="55"/>
        <v>30</v>
      </c>
      <c r="L93">
        <f t="shared" si="56"/>
        <v>80</v>
      </c>
      <c r="M93">
        <f t="shared" si="57"/>
        <v>40</v>
      </c>
      <c r="N93">
        <f t="shared" si="58"/>
        <v>10</v>
      </c>
      <c r="O93">
        <v>4</v>
      </c>
      <c r="P93">
        <v>0</v>
      </c>
      <c r="Q93">
        <v>2</v>
      </c>
      <c r="R93">
        <v>4</v>
      </c>
      <c r="S93">
        <v>4</v>
      </c>
      <c r="T93">
        <v>1</v>
      </c>
      <c r="U93">
        <f t="shared" si="59"/>
        <v>240</v>
      </c>
      <c r="V93">
        <f t="shared" si="60"/>
        <v>0</v>
      </c>
      <c r="W93">
        <f t="shared" si="61"/>
        <v>60</v>
      </c>
      <c r="X93">
        <f t="shared" si="62"/>
        <v>320</v>
      </c>
      <c r="Y93">
        <f t="shared" si="63"/>
        <v>160</v>
      </c>
      <c r="Z93">
        <f t="shared" si="64"/>
        <v>10</v>
      </c>
      <c r="AA93">
        <f t="shared" si="50"/>
        <v>790</v>
      </c>
      <c r="AB93">
        <f t="shared" si="51"/>
        <v>52.666666666666664</v>
      </c>
      <c r="AC93">
        <f t="shared" si="52"/>
        <v>3.8333333333333335</v>
      </c>
    </row>
  </sheetData>
  <mergeCells count="10">
    <mergeCell ref="AA1:AA2"/>
    <mergeCell ref="AB1:AB2"/>
    <mergeCell ref="AE4:AK4"/>
    <mergeCell ref="AE10:AK10"/>
    <mergeCell ref="A1:A2"/>
    <mergeCell ref="B1:B2"/>
    <mergeCell ref="C1:H1"/>
    <mergeCell ref="I1:N1"/>
    <mergeCell ref="O1:T1"/>
    <mergeCell ref="U1:Z1"/>
  </mergeCells>
  <conditionalFormatting sqref="C1 I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 C2 G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72596-FE88-4777-87BD-7D808CC9C055}">
  <dimension ref="A1:AG60"/>
  <sheetViews>
    <sheetView topLeftCell="M13" workbookViewId="0">
      <selection activeCell="W33" sqref="W33"/>
    </sheetView>
  </sheetViews>
  <sheetFormatPr defaultRowHeight="12.5" x14ac:dyDescent="0.25"/>
  <cols>
    <col min="4" max="4" width="10.1796875" customWidth="1"/>
  </cols>
  <sheetData>
    <row r="1" spans="1:33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</row>
    <row r="2" spans="1:33" x14ac:dyDescent="0.25">
      <c r="A2" s="1">
        <v>1</v>
      </c>
      <c r="B2" s="1" t="s">
        <v>24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26</v>
      </c>
      <c r="H2" s="1" t="s">
        <v>25</v>
      </c>
      <c r="I2" s="1" t="s">
        <v>25</v>
      </c>
      <c r="J2" s="1" t="s">
        <v>25</v>
      </c>
      <c r="K2" s="1" t="s">
        <v>26</v>
      </c>
      <c r="L2" s="1" t="s">
        <v>26</v>
      </c>
      <c r="M2" s="1" t="s">
        <v>26</v>
      </c>
      <c r="N2" s="1" t="s">
        <v>26</v>
      </c>
      <c r="O2" s="1" t="s">
        <v>26</v>
      </c>
      <c r="P2" s="1" t="s">
        <v>26</v>
      </c>
      <c r="Q2" s="1" t="s">
        <v>26</v>
      </c>
      <c r="AB2" s="1">
        <v>7</v>
      </c>
      <c r="AC2" s="1">
        <v>10</v>
      </c>
      <c r="AD2" s="1">
        <v>4</v>
      </c>
      <c r="AE2" s="1">
        <v>4</v>
      </c>
      <c r="AF2" s="1">
        <v>10</v>
      </c>
      <c r="AG2" s="1">
        <v>7</v>
      </c>
    </row>
    <row r="3" spans="1:33" x14ac:dyDescent="0.25">
      <c r="A3" s="1">
        <v>2</v>
      </c>
      <c r="B3" s="1" t="s">
        <v>24</v>
      </c>
      <c r="C3" s="1" t="s">
        <v>25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26</v>
      </c>
      <c r="L3" s="1" t="s">
        <v>25</v>
      </c>
      <c r="M3" s="1" t="s">
        <v>25</v>
      </c>
      <c r="N3" s="1" t="s">
        <v>26</v>
      </c>
      <c r="O3" s="1" t="s">
        <v>26</v>
      </c>
      <c r="P3" s="1" t="s">
        <v>26</v>
      </c>
      <c r="Q3" s="1" t="s">
        <v>26</v>
      </c>
      <c r="AB3" s="1">
        <v>1</v>
      </c>
      <c r="AC3" s="1">
        <v>1</v>
      </c>
      <c r="AD3" s="1">
        <v>1</v>
      </c>
      <c r="AE3" s="1">
        <v>10</v>
      </c>
      <c r="AF3" s="1">
        <v>1</v>
      </c>
      <c r="AG3" s="1">
        <v>1</v>
      </c>
    </row>
    <row r="4" spans="1:33" x14ac:dyDescent="0.25">
      <c r="A4" s="1">
        <v>3</v>
      </c>
      <c r="B4" s="1" t="s">
        <v>24</v>
      </c>
      <c r="C4" s="1" t="s">
        <v>26</v>
      </c>
      <c r="D4" s="1" t="s">
        <v>25</v>
      </c>
      <c r="E4" s="1" t="s">
        <v>25</v>
      </c>
      <c r="F4" s="1" t="s">
        <v>26</v>
      </c>
      <c r="G4" s="1" t="s">
        <v>25</v>
      </c>
      <c r="H4" s="1" t="s">
        <v>26</v>
      </c>
      <c r="I4" s="1" t="s">
        <v>26</v>
      </c>
      <c r="J4" s="1" t="s">
        <v>26</v>
      </c>
      <c r="K4" s="1" t="s">
        <v>26</v>
      </c>
      <c r="L4" s="1" t="s">
        <v>25</v>
      </c>
      <c r="M4" s="1" t="s">
        <v>26</v>
      </c>
      <c r="N4" s="1" t="s">
        <v>25</v>
      </c>
      <c r="O4" s="1" t="s">
        <v>25</v>
      </c>
      <c r="P4" s="1" t="s">
        <v>25</v>
      </c>
      <c r="Q4" s="1" t="s">
        <v>26</v>
      </c>
      <c r="AB4" s="1">
        <v>5</v>
      </c>
      <c r="AC4" s="1">
        <v>4</v>
      </c>
      <c r="AD4" s="1">
        <v>6</v>
      </c>
      <c r="AE4" s="1">
        <v>6</v>
      </c>
      <c r="AF4" s="1">
        <v>6</v>
      </c>
      <c r="AG4" s="1">
        <v>4</v>
      </c>
    </row>
    <row r="5" spans="1:33" x14ac:dyDescent="0.25">
      <c r="A5" s="1">
        <v>4</v>
      </c>
      <c r="B5" s="1" t="s">
        <v>24</v>
      </c>
      <c r="C5" s="1" t="s">
        <v>26</v>
      </c>
      <c r="D5" s="1" t="s">
        <v>25</v>
      </c>
      <c r="E5" s="1" t="s">
        <v>25</v>
      </c>
      <c r="F5" s="1" t="s">
        <v>25</v>
      </c>
      <c r="G5" s="1" t="s">
        <v>25</v>
      </c>
      <c r="H5" s="1" t="s">
        <v>26</v>
      </c>
      <c r="I5" s="1" t="s">
        <v>26</v>
      </c>
      <c r="J5" s="1" t="s">
        <v>26</v>
      </c>
      <c r="K5" s="1" t="s">
        <v>26</v>
      </c>
      <c r="L5" s="1" t="s">
        <v>26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26</v>
      </c>
      <c r="AB5" s="1">
        <v>5</v>
      </c>
      <c r="AC5" s="1">
        <v>2</v>
      </c>
      <c r="AD5" s="1">
        <v>4</v>
      </c>
      <c r="AE5" s="1">
        <v>8</v>
      </c>
      <c r="AF5" s="1">
        <v>8</v>
      </c>
      <c r="AG5" s="1">
        <v>2</v>
      </c>
    </row>
    <row r="6" spans="1:33" x14ac:dyDescent="0.25">
      <c r="A6" s="1">
        <v>5</v>
      </c>
      <c r="B6" s="1" t="s">
        <v>24</v>
      </c>
      <c r="C6" s="1" t="s">
        <v>25</v>
      </c>
      <c r="D6" s="1" t="s">
        <v>25</v>
      </c>
      <c r="E6" s="1" t="s">
        <v>26</v>
      </c>
      <c r="F6" s="1" t="s">
        <v>25</v>
      </c>
      <c r="G6" s="1" t="s">
        <v>25</v>
      </c>
      <c r="H6" s="1" t="s">
        <v>25</v>
      </c>
      <c r="I6" s="1" t="s">
        <v>25</v>
      </c>
      <c r="J6" s="1" t="s">
        <v>26</v>
      </c>
      <c r="K6" s="1" t="s">
        <v>26</v>
      </c>
      <c r="L6" s="1" t="s">
        <v>26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26</v>
      </c>
      <c r="AB6" s="1">
        <v>8</v>
      </c>
      <c r="AC6" s="1">
        <v>6</v>
      </c>
      <c r="AD6" s="1">
        <v>5</v>
      </c>
      <c r="AE6" s="1">
        <v>9</v>
      </c>
      <c r="AF6" s="1">
        <v>8</v>
      </c>
      <c r="AG6" s="1">
        <v>1</v>
      </c>
    </row>
    <row r="7" spans="1:33" x14ac:dyDescent="0.25">
      <c r="A7" s="1">
        <v>6</v>
      </c>
      <c r="B7" s="1" t="s">
        <v>24</v>
      </c>
      <c r="C7" s="1" t="s">
        <v>26</v>
      </c>
      <c r="D7" s="1" t="s">
        <v>26</v>
      </c>
      <c r="E7" s="1" t="s">
        <v>26</v>
      </c>
      <c r="F7" s="1" t="s">
        <v>26</v>
      </c>
      <c r="G7" s="1" t="s">
        <v>25</v>
      </c>
      <c r="H7" s="1" t="s">
        <v>25</v>
      </c>
      <c r="I7" s="1" t="s">
        <v>25</v>
      </c>
      <c r="J7" s="1" t="s">
        <v>26</v>
      </c>
      <c r="K7" s="1" t="s">
        <v>26</v>
      </c>
      <c r="L7" s="1" t="s">
        <v>26</v>
      </c>
      <c r="M7" s="1" t="s">
        <v>25</v>
      </c>
      <c r="N7" s="1" t="s">
        <v>25</v>
      </c>
      <c r="O7" s="1" t="s">
        <v>25</v>
      </c>
      <c r="P7" s="1" t="s">
        <v>25</v>
      </c>
      <c r="Q7" s="1" t="s">
        <v>26</v>
      </c>
      <c r="AB7" s="1">
        <v>6</v>
      </c>
      <c r="AC7" s="1">
        <v>5</v>
      </c>
      <c r="AD7" s="1">
        <v>5</v>
      </c>
      <c r="AE7" s="1">
        <v>8</v>
      </c>
      <c r="AF7" s="1">
        <v>5</v>
      </c>
      <c r="AG7" s="1">
        <v>3</v>
      </c>
    </row>
    <row r="8" spans="1:33" x14ac:dyDescent="0.25">
      <c r="A8" s="1">
        <v>7</v>
      </c>
      <c r="B8" s="1" t="s">
        <v>24</v>
      </c>
      <c r="C8" s="1" t="s">
        <v>25</v>
      </c>
      <c r="D8" s="1" t="s">
        <v>25</v>
      </c>
      <c r="E8" s="1" t="s">
        <v>26</v>
      </c>
      <c r="F8" s="1" t="s">
        <v>25</v>
      </c>
      <c r="G8" s="1" t="s">
        <v>25</v>
      </c>
      <c r="H8" s="1" t="s">
        <v>26</v>
      </c>
      <c r="I8" s="1" t="s">
        <v>26</v>
      </c>
      <c r="J8" s="1" t="s">
        <v>26</v>
      </c>
      <c r="K8" s="1" t="s">
        <v>26</v>
      </c>
      <c r="L8" s="1" t="s">
        <v>26</v>
      </c>
      <c r="M8" s="1" t="s">
        <v>25</v>
      </c>
      <c r="N8" s="1" t="s">
        <v>25</v>
      </c>
      <c r="O8" s="1" t="s">
        <v>25</v>
      </c>
      <c r="P8" s="1" t="s">
        <v>25</v>
      </c>
      <c r="Q8" s="1" t="s">
        <v>26</v>
      </c>
      <c r="AB8" s="1">
        <v>1</v>
      </c>
      <c r="AC8" s="1">
        <v>1</v>
      </c>
      <c r="AD8" s="1">
        <v>1</v>
      </c>
      <c r="AE8" s="1">
        <v>10</v>
      </c>
      <c r="AF8" s="1">
        <v>1</v>
      </c>
      <c r="AG8" s="1">
        <v>1</v>
      </c>
    </row>
    <row r="9" spans="1:33" x14ac:dyDescent="0.25">
      <c r="A9" s="1">
        <v>8</v>
      </c>
      <c r="B9" s="1" t="s">
        <v>24</v>
      </c>
      <c r="C9" s="1" t="s">
        <v>25</v>
      </c>
      <c r="D9" s="1" t="s">
        <v>25</v>
      </c>
      <c r="E9" s="1" t="s">
        <v>25</v>
      </c>
      <c r="F9" s="1" t="s">
        <v>26</v>
      </c>
      <c r="G9" s="1" t="s">
        <v>26</v>
      </c>
      <c r="H9" s="1" t="s">
        <v>26</v>
      </c>
      <c r="I9" s="1" t="s">
        <v>26</v>
      </c>
      <c r="J9" s="1" t="s">
        <v>25</v>
      </c>
      <c r="K9" s="1" t="s">
        <v>25</v>
      </c>
      <c r="L9" s="1" t="s">
        <v>26</v>
      </c>
      <c r="M9" s="1" t="s">
        <v>26</v>
      </c>
      <c r="N9" s="1" t="s">
        <v>25</v>
      </c>
      <c r="O9" s="1" t="s">
        <v>25</v>
      </c>
      <c r="P9" s="1" t="s">
        <v>25</v>
      </c>
      <c r="Q9" s="1" t="s">
        <v>26</v>
      </c>
      <c r="AB9" s="1">
        <v>6</v>
      </c>
      <c r="AC9" s="1">
        <v>2</v>
      </c>
      <c r="AD9" s="1">
        <v>6</v>
      </c>
      <c r="AE9" s="1">
        <v>7</v>
      </c>
      <c r="AF9" s="1">
        <v>4</v>
      </c>
      <c r="AG9" s="1">
        <v>6</v>
      </c>
    </row>
    <row r="10" spans="1:33" x14ac:dyDescent="0.25">
      <c r="A10" s="1">
        <v>9</v>
      </c>
      <c r="B10" s="1" t="s">
        <v>24</v>
      </c>
      <c r="C10" s="1" t="s">
        <v>25</v>
      </c>
      <c r="D10" s="1" t="s">
        <v>26</v>
      </c>
      <c r="E10" s="1" t="s">
        <v>26</v>
      </c>
      <c r="F10" s="1" t="s">
        <v>26</v>
      </c>
      <c r="G10" s="1" t="s">
        <v>26</v>
      </c>
      <c r="H10" s="1" t="s">
        <v>25</v>
      </c>
      <c r="I10" s="1" t="s">
        <v>26</v>
      </c>
      <c r="J10" s="1" t="s">
        <v>26</v>
      </c>
      <c r="K10" s="1" t="s">
        <v>26</v>
      </c>
      <c r="L10" s="1" t="s">
        <v>26</v>
      </c>
      <c r="M10" s="1" t="s">
        <v>25</v>
      </c>
      <c r="N10" s="1" t="s">
        <v>25</v>
      </c>
      <c r="O10" s="1" t="s">
        <v>25</v>
      </c>
      <c r="P10" s="1" t="s">
        <v>25</v>
      </c>
      <c r="Q10" s="1" t="s">
        <v>26</v>
      </c>
      <c r="AB10" s="1">
        <v>4</v>
      </c>
      <c r="AC10" s="1">
        <v>7</v>
      </c>
      <c r="AD10" s="1">
        <v>3</v>
      </c>
      <c r="AE10" s="1">
        <v>6</v>
      </c>
      <c r="AF10" s="1">
        <v>6</v>
      </c>
      <c r="AG10" s="1">
        <v>2</v>
      </c>
    </row>
    <row r="11" spans="1:33" x14ac:dyDescent="0.25">
      <c r="A11" s="1">
        <v>10</v>
      </c>
      <c r="B11" s="1" t="s">
        <v>24</v>
      </c>
      <c r="C11" s="1" t="s">
        <v>26</v>
      </c>
      <c r="D11" s="1" t="s">
        <v>25</v>
      </c>
      <c r="E11" s="1" t="s">
        <v>25</v>
      </c>
      <c r="F11" s="1" t="s">
        <v>25</v>
      </c>
      <c r="G11" s="1" t="s">
        <v>25</v>
      </c>
      <c r="H11" s="1" t="s">
        <v>26</v>
      </c>
      <c r="I11" s="1" t="s">
        <v>26</v>
      </c>
      <c r="J11" s="1" t="s">
        <v>25</v>
      </c>
      <c r="K11" s="1" t="s">
        <v>26</v>
      </c>
      <c r="L11" s="1" t="s">
        <v>25</v>
      </c>
      <c r="M11" s="1" t="s">
        <v>25</v>
      </c>
      <c r="N11" s="1" t="s">
        <v>25</v>
      </c>
      <c r="O11" s="1" t="s">
        <v>25</v>
      </c>
      <c r="P11" s="1" t="s">
        <v>25</v>
      </c>
      <c r="Q11" s="1" t="s">
        <v>26</v>
      </c>
      <c r="AB11" s="1">
        <v>1</v>
      </c>
      <c r="AC11" s="1">
        <v>1</v>
      </c>
      <c r="AD11" s="1">
        <v>2</v>
      </c>
      <c r="AE11" s="1">
        <v>10</v>
      </c>
      <c r="AF11" s="1">
        <v>1</v>
      </c>
      <c r="AG11" s="1">
        <v>1</v>
      </c>
    </row>
    <row r="12" spans="1:33" x14ac:dyDescent="0.25">
      <c r="A12" s="1">
        <v>11</v>
      </c>
      <c r="B12" s="1" t="s">
        <v>24</v>
      </c>
      <c r="C12" s="1" t="s">
        <v>26</v>
      </c>
      <c r="D12" s="1" t="s">
        <v>26</v>
      </c>
      <c r="E12" s="1" t="s">
        <v>26</v>
      </c>
      <c r="F12" s="1" t="s">
        <v>26</v>
      </c>
      <c r="G12" s="1" t="s">
        <v>25</v>
      </c>
      <c r="H12" s="1" t="s">
        <v>25</v>
      </c>
      <c r="I12" s="1" t="s">
        <v>26</v>
      </c>
      <c r="J12" s="1" t="s">
        <v>26</v>
      </c>
      <c r="K12" s="1" t="s">
        <v>26</v>
      </c>
      <c r="L12" s="1" t="s">
        <v>25</v>
      </c>
      <c r="M12" s="1" t="s">
        <v>25</v>
      </c>
      <c r="N12" s="1" t="s">
        <v>26</v>
      </c>
      <c r="O12" s="1" t="s">
        <v>25</v>
      </c>
      <c r="P12" s="1" t="s">
        <v>25</v>
      </c>
      <c r="Q12" s="1" t="s">
        <v>25</v>
      </c>
      <c r="AB12" s="1">
        <v>2</v>
      </c>
      <c r="AC12" s="1">
        <v>2</v>
      </c>
      <c r="AD12" s="1">
        <v>1</v>
      </c>
      <c r="AE12" s="1">
        <v>7</v>
      </c>
      <c r="AF12" s="1">
        <v>2</v>
      </c>
      <c r="AG12" s="1">
        <v>8</v>
      </c>
    </row>
    <row r="13" spans="1:33" x14ac:dyDescent="0.25">
      <c r="A13" s="1">
        <v>12</v>
      </c>
      <c r="B13" s="1" t="s">
        <v>24</v>
      </c>
      <c r="C13" s="1" t="s">
        <v>25</v>
      </c>
      <c r="D13" s="1" t="s">
        <v>25</v>
      </c>
      <c r="E13" s="1" t="s">
        <v>25</v>
      </c>
      <c r="F13" s="1" t="s">
        <v>26</v>
      </c>
      <c r="G13" s="1" t="s">
        <v>26</v>
      </c>
      <c r="H13" s="1" t="s">
        <v>26</v>
      </c>
      <c r="I13" s="1" t="s">
        <v>26</v>
      </c>
      <c r="J13" s="1" t="s">
        <v>25</v>
      </c>
      <c r="K13" s="1" t="s">
        <v>25</v>
      </c>
      <c r="L13" s="1" t="s">
        <v>25</v>
      </c>
      <c r="M13" s="1" t="s">
        <v>25</v>
      </c>
      <c r="N13" s="1" t="s">
        <v>25</v>
      </c>
      <c r="O13" s="1" t="s">
        <v>25</v>
      </c>
      <c r="P13" s="1" t="s">
        <v>25</v>
      </c>
      <c r="Q13" s="1" t="s">
        <v>26</v>
      </c>
      <c r="AB13" s="1">
        <v>2</v>
      </c>
      <c r="AC13" s="1">
        <v>1</v>
      </c>
      <c r="AD13" s="1">
        <v>5</v>
      </c>
      <c r="AE13" s="1">
        <v>9</v>
      </c>
      <c r="AF13" s="1">
        <v>2</v>
      </c>
      <c r="AG13" s="1">
        <v>1</v>
      </c>
    </row>
    <row r="14" spans="1:33" x14ac:dyDescent="0.25">
      <c r="A14" s="1">
        <v>13</v>
      </c>
      <c r="B14" s="1" t="s">
        <v>24</v>
      </c>
      <c r="C14" s="1" t="s">
        <v>25</v>
      </c>
      <c r="D14" s="1" t="s">
        <v>25</v>
      </c>
      <c r="E14" s="1" t="s">
        <v>25</v>
      </c>
      <c r="F14" s="1" t="s">
        <v>25</v>
      </c>
      <c r="G14" s="1" t="s">
        <v>26</v>
      </c>
      <c r="H14" s="1" t="s">
        <v>25</v>
      </c>
      <c r="I14" s="1" t="s">
        <v>25</v>
      </c>
      <c r="J14" s="1" t="s">
        <v>26</v>
      </c>
      <c r="K14" s="1" t="s">
        <v>26</v>
      </c>
      <c r="L14" s="1" t="s">
        <v>26</v>
      </c>
      <c r="M14" s="1" t="s">
        <v>26</v>
      </c>
      <c r="N14" s="1" t="s">
        <v>26</v>
      </c>
      <c r="O14" s="1" t="s">
        <v>26</v>
      </c>
      <c r="P14" s="1" t="s">
        <v>26</v>
      </c>
      <c r="Q14" s="1" t="s">
        <v>26</v>
      </c>
      <c r="AB14" s="1">
        <v>7</v>
      </c>
      <c r="AC14" s="1">
        <v>10</v>
      </c>
      <c r="AD14" s="1">
        <v>4</v>
      </c>
      <c r="AE14" s="1">
        <v>5</v>
      </c>
      <c r="AF14" s="1">
        <v>9</v>
      </c>
      <c r="AG14" s="1">
        <v>8</v>
      </c>
    </row>
    <row r="15" spans="1:33" x14ac:dyDescent="0.25">
      <c r="A15" s="1">
        <v>14</v>
      </c>
      <c r="B15" s="1" t="s">
        <v>24</v>
      </c>
      <c r="C15" s="1" t="s">
        <v>25</v>
      </c>
      <c r="D15" s="1" t="s">
        <v>25</v>
      </c>
      <c r="E15" s="1" t="s">
        <v>26</v>
      </c>
      <c r="F15" s="1" t="s">
        <v>26</v>
      </c>
      <c r="G15" s="1" t="s">
        <v>26</v>
      </c>
      <c r="H15" s="1" t="s">
        <v>26</v>
      </c>
      <c r="I15" s="1" t="s">
        <v>26</v>
      </c>
      <c r="J15" s="1" t="s">
        <v>26</v>
      </c>
      <c r="K15" s="1" t="s">
        <v>26</v>
      </c>
      <c r="L15" s="1" t="s">
        <v>26</v>
      </c>
      <c r="M15" s="1" t="s">
        <v>26</v>
      </c>
      <c r="N15" s="1" t="s">
        <v>26</v>
      </c>
      <c r="O15" s="1" t="s">
        <v>25</v>
      </c>
      <c r="P15" s="1" t="s">
        <v>25</v>
      </c>
      <c r="Q15" s="1" t="s">
        <v>26</v>
      </c>
      <c r="AB15" s="1">
        <v>8</v>
      </c>
      <c r="AC15" s="1">
        <v>1</v>
      </c>
      <c r="AD15" s="1">
        <v>1</v>
      </c>
      <c r="AE15" s="1">
        <v>4</v>
      </c>
      <c r="AF15" s="1">
        <v>6</v>
      </c>
      <c r="AG15" s="1">
        <v>6</v>
      </c>
    </row>
    <row r="16" spans="1:33" x14ac:dyDescent="0.25">
      <c r="A16" s="1">
        <v>15</v>
      </c>
      <c r="B16" s="1" t="s">
        <v>24</v>
      </c>
      <c r="C16" s="1" t="s">
        <v>26</v>
      </c>
      <c r="D16" s="1" t="s">
        <v>25</v>
      </c>
      <c r="E16" s="1" t="s">
        <v>25</v>
      </c>
      <c r="F16" s="1" t="s">
        <v>25</v>
      </c>
      <c r="G16" s="1" t="s">
        <v>25</v>
      </c>
      <c r="H16" s="1" t="s">
        <v>26</v>
      </c>
      <c r="I16" s="1" t="s">
        <v>26</v>
      </c>
      <c r="J16" s="1" t="s">
        <v>25</v>
      </c>
      <c r="K16" s="1" t="s">
        <v>26</v>
      </c>
      <c r="L16" s="1" t="s">
        <v>25</v>
      </c>
      <c r="M16" s="1" t="s">
        <v>26</v>
      </c>
      <c r="N16" s="1" t="s">
        <v>25</v>
      </c>
      <c r="O16" s="1" t="s">
        <v>26</v>
      </c>
      <c r="P16" s="1" t="s">
        <v>25</v>
      </c>
      <c r="Q16" s="1" t="s">
        <v>26</v>
      </c>
      <c r="AB16" s="1">
        <v>2</v>
      </c>
      <c r="AC16" s="1">
        <v>1</v>
      </c>
      <c r="AD16" s="1">
        <v>1</v>
      </c>
      <c r="AE16" s="1">
        <v>7</v>
      </c>
      <c r="AF16" s="1">
        <v>1</v>
      </c>
      <c r="AG16" s="1">
        <v>8</v>
      </c>
    </row>
    <row r="17" spans="1:33" x14ac:dyDescent="0.25">
      <c r="A17" s="1">
        <v>16</v>
      </c>
      <c r="B17" s="1" t="s">
        <v>24</v>
      </c>
      <c r="C17" s="1" t="s">
        <v>26</v>
      </c>
      <c r="D17" s="1" t="s">
        <v>25</v>
      </c>
      <c r="E17" s="1" t="s">
        <v>25</v>
      </c>
      <c r="F17" s="1" t="s">
        <v>25</v>
      </c>
      <c r="G17" s="1" t="s">
        <v>26</v>
      </c>
      <c r="H17" s="1" t="s">
        <v>26</v>
      </c>
      <c r="I17" s="1" t="s">
        <v>25</v>
      </c>
      <c r="J17" s="1" t="s">
        <v>25</v>
      </c>
      <c r="K17" s="1" t="s">
        <v>25</v>
      </c>
      <c r="L17" s="1" t="s">
        <v>26</v>
      </c>
      <c r="M17" s="1" t="s">
        <v>26</v>
      </c>
      <c r="N17" s="1" t="s">
        <v>25</v>
      </c>
      <c r="O17" s="1" t="s">
        <v>26</v>
      </c>
      <c r="P17" s="1" t="s">
        <v>26</v>
      </c>
      <c r="Q17" s="1" t="s">
        <v>25</v>
      </c>
      <c r="AB17" s="1">
        <v>4</v>
      </c>
      <c r="AC17" s="1">
        <v>6</v>
      </c>
      <c r="AD17" s="1">
        <v>3</v>
      </c>
      <c r="AE17" s="1">
        <v>6</v>
      </c>
      <c r="AF17" s="1">
        <v>4</v>
      </c>
      <c r="AG17" s="1">
        <v>1</v>
      </c>
    </row>
    <row r="18" spans="1:33" x14ac:dyDescent="0.25">
      <c r="A18" s="1">
        <v>17</v>
      </c>
      <c r="B18" s="1" t="s">
        <v>24</v>
      </c>
      <c r="C18" s="1" t="s">
        <v>26</v>
      </c>
      <c r="D18" s="1" t="s">
        <v>25</v>
      </c>
      <c r="E18" s="1" t="s">
        <v>25</v>
      </c>
      <c r="F18" s="1" t="s">
        <v>26</v>
      </c>
      <c r="G18" s="1" t="s">
        <v>25</v>
      </c>
      <c r="H18" s="1" t="s">
        <v>26</v>
      </c>
      <c r="I18" s="1" t="s">
        <v>26</v>
      </c>
      <c r="J18" s="1" t="s">
        <v>25</v>
      </c>
      <c r="K18" s="1" t="s">
        <v>26</v>
      </c>
      <c r="L18" s="1" t="s">
        <v>25</v>
      </c>
      <c r="M18" s="1" t="s">
        <v>26</v>
      </c>
      <c r="N18" s="1" t="s">
        <v>26</v>
      </c>
      <c r="O18" s="1" t="s">
        <v>25</v>
      </c>
      <c r="P18" s="1" t="s">
        <v>25</v>
      </c>
      <c r="Q18" s="1" t="s">
        <v>26</v>
      </c>
      <c r="AB18" s="1">
        <v>2</v>
      </c>
      <c r="AC18" s="1">
        <v>1</v>
      </c>
      <c r="AD18" s="1">
        <v>4</v>
      </c>
      <c r="AE18" s="1">
        <v>7</v>
      </c>
      <c r="AF18" s="1">
        <v>8</v>
      </c>
      <c r="AG18" s="1">
        <v>1</v>
      </c>
    </row>
    <row r="19" spans="1:33" x14ac:dyDescent="0.25">
      <c r="A19" s="1">
        <v>18</v>
      </c>
      <c r="B19" s="1" t="s">
        <v>24</v>
      </c>
      <c r="C19" s="1" t="s">
        <v>25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26</v>
      </c>
      <c r="I19" s="1" t="s">
        <v>25</v>
      </c>
      <c r="J19" s="1" t="s">
        <v>25</v>
      </c>
      <c r="K19" s="1" t="s">
        <v>26</v>
      </c>
      <c r="L19" s="1" t="s">
        <v>25</v>
      </c>
      <c r="M19" s="1" t="s">
        <v>26</v>
      </c>
      <c r="N19" s="1" t="s">
        <v>26</v>
      </c>
      <c r="O19" s="1" t="s">
        <v>26</v>
      </c>
      <c r="P19" s="1" t="s">
        <v>26</v>
      </c>
      <c r="Q19" s="1" t="s">
        <v>26</v>
      </c>
      <c r="AB19" s="1">
        <v>6</v>
      </c>
      <c r="AC19" s="1">
        <v>7</v>
      </c>
      <c r="AD19" s="1">
        <v>2</v>
      </c>
      <c r="AE19" s="1">
        <v>7</v>
      </c>
      <c r="AF19" s="1">
        <v>4</v>
      </c>
      <c r="AG19" s="1">
        <v>7</v>
      </c>
    </row>
    <row r="20" spans="1:33" x14ac:dyDescent="0.25">
      <c r="A20" s="1">
        <v>19</v>
      </c>
      <c r="B20" s="1" t="s">
        <v>24</v>
      </c>
      <c r="C20" s="1" t="s">
        <v>26</v>
      </c>
      <c r="D20" s="1" t="s">
        <v>25</v>
      </c>
      <c r="E20" s="1" t="s">
        <v>26</v>
      </c>
      <c r="F20" s="1" t="s">
        <v>25</v>
      </c>
      <c r="G20" s="1" t="s">
        <v>25</v>
      </c>
      <c r="H20" s="1" t="s">
        <v>26</v>
      </c>
      <c r="I20" s="1" t="s">
        <v>26</v>
      </c>
      <c r="J20" s="1" t="s">
        <v>25</v>
      </c>
      <c r="K20" s="1" t="s">
        <v>26</v>
      </c>
      <c r="L20" s="1" t="s">
        <v>25</v>
      </c>
      <c r="M20" s="1" t="s">
        <v>25</v>
      </c>
      <c r="N20" s="1" t="s">
        <v>25</v>
      </c>
      <c r="O20" s="1" t="s">
        <v>25</v>
      </c>
      <c r="P20" s="1" t="s">
        <v>25</v>
      </c>
      <c r="Q20" s="1" t="s">
        <v>26</v>
      </c>
      <c r="AB20" s="1">
        <v>4</v>
      </c>
      <c r="AC20" s="1">
        <v>7</v>
      </c>
      <c r="AD20" s="1">
        <v>7</v>
      </c>
      <c r="AE20" s="1">
        <v>10</v>
      </c>
      <c r="AF20" s="1">
        <v>6</v>
      </c>
      <c r="AG20" s="1">
        <v>1</v>
      </c>
    </row>
    <row r="21" spans="1:33" x14ac:dyDescent="0.25">
      <c r="A21" s="1">
        <v>20</v>
      </c>
      <c r="B21" s="1" t="s">
        <v>24</v>
      </c>
      <c r="C21" s="1" t="s">
        <v>26</v>
      </c>
      <c r="D21" s="1" t="s">
        <v>25</v>
      </c>
      <c r="E21" s="1" t="s">
        <v>25</v>
      </c>
      <c r="F21" s="1" t="s">
        <v>25</v>
      </c>
      <c r="G21" s="1" t="s">
        <v>25</v>
      </c>
      <c r="H21" s="1" t="s">
        <v>26</v>
      </c>
      <c r="I21" s="1" t="s">
        <v>26</v>
      </c>
      <c r="J21" s="1" t="s">
        <v>25</v>
      </c>
      <c r="K21" s="1" t="s">
        <v>26</v>
      </c>
      <c r="L21" s="1" t="s">
        <v>25</v>
      </c>
      <c r="M21" s="1" t="s">
        <v>25</v>
      </c>
      <c r="N21" s="1" t="s">
        <v>25</v>
      </c>
      <c r="O21" s="1" t="s">
        <v>25</v>
      </c>
      <c r="P21" s="1" t="s">
        <v>25</v>
      </c>
      <c r="Q21" s="1" t="s">
        <v>26</v>
      </c>
      <c r="AB21" s="1">
        <v>5</v>
      </c>
      <c r="AC21" s="1">
        <v>3</v>
      </c>
      <c r="AD21" s="1">
        <v>4</v>
      </c>
      <c r="AE21" s="1">
        <v>9</v>
      </c>
      <c r="AF21" s="1">
        <v>5</v>
      </c>
      <c r="AG21" s="1">
        <v>2</v>
      </c>
    </row>
    <row r="22" spans="1:33" x14ac:dyDescent="0.25">
      <c r="A22" s="1">
        <v>21</v>
      </c>
      <c r="B22" s="1" t="s">
        <v>24</v>
      </c>
      <c r="C22" s="1" t="s">
        <v>25</v>
      </c>
      <c r="D22" s="1" t="s">
        <v>25</v>
      </c>
      <c r="E22" s="1" t="s">
        <v>26</v>
      </c>
      <c r="F22" s="1" t="s">
        <v>25</v>
      </c>
      <c r="G22" s="1" t="s">
        <v>25</v>
      </c>
      <c r="H22" s="1" t="s">
        <v>26</v>
      </c>
      <c r="I22" s="1" t="s">
        <v>26</v>
      </c>
      <c r="J22" s="1" t="s">
        <v>26</v>
      </c>
      <c r="K22" s="1" t="s">
        <v>26</v>
      </c>
      <c r="L22" s="1" t="s">
        <v>26</v>
      </c>
      <c r="M22" s="1" t="s">
        <v>25</v>
      </c>
      <c r="N22" s="1" t="s">
        <v>26</v>
      </c>
      <c r="O22" s="1" t="s">
        <v>25</v>
      </c>
      <c r="P22" s="1" t="s">
        <v>25</v>
      </c>
      <c r="Q22" s="1" t="s">
        <v>26</v>
      </c>
      <c r="AB22" s="1">
        <v>1</v>
      </c>
      <c r="AC22" s="1">
        <v>4</v>
      </c>
      <c r="AD22" s="1">
        <v>1</v>
      </c>
      <c r="AE22" s="1">
        <v>10</v>
      </c>
      <c r="AF22" s="1">
        <v>2</v>
      </c>
      <c r="AG22" s="1">
        <v>1</v>
      </c>
    </row>
    <row r="23" spans="1:33" x14ac:dyDescent="0.25">
      <c r="A23" s="1">
        <v>23</v>
      </c>
      <c r="B23" s="1" t="s">
        <v>24</v>
      </c>
      <c r="C23" s="1" t="s">
        <v>26</v>
      </c>
      <c r="D23" s="1" t="s">
        <v>25</v>
      </c>
      <c r="E23" s="1" t="s">
        <v>26</v>
      </c>
      <c r="F23" s="1" t="s">
        <v>25</v>
      </c>
      <c r="G23" s="1" t="s">
        <v>25</v>
      </c>
      <c r="H23" s="1" t="s">
        <v>26</v>
      </c>
      <c r="I23" s="1" t="s">
        <v>26</v>
      </c>
      <c r="J23" s="1" t="s">
        <v>26</v>
      </c>
      <c r="K23" s="1" t="s">
        <v>25</v>
      </c>
      <c r="L23" s="1" t="s">
        <v>26</v>
      </c>
      <c r="M23" s="1" t="s">
        <v>25</v>
      </c>
      <c r="N23" s="1" t="s">
        <v>26</v>
      </c>
      <c r="O23" s="1" t="s">
        <v>25</v>
      </c>
      <c r="P23" s="1" t="s">
        <v>25</v>
      </c>
      <c r="Q23" s="1" t="s">
        <v>26</v>
      </c>
      <c r="AB23" s="1">
        <v>8</v>
      </c>
      <c r="AC23" s="1">
        <v>5</v>
      </c>
      <c r="AD23" s="1">
        <v>4</v>
      </c>
      <c r="AE23" s="1">
        <v>7</v>
      </c>
      <c r="AF23" s="1">
        <v>9</v>
      </c>
      <c r="AG23" s="1">
        <v>1</v>
      </c>
    </row>
    <row r="24" spans="1:33" x14ac:dyDescent="0.25">
      <c r="A24" s="1">
        <v>24</v>
      </c>
      <c r="B24" s="1" t="s">
        <v>24</v>
      </c>
      <c r="C24" s="1" t="s">
        <v>26</v>
      </c>
      <c r="D24" s="1" t="s">
        <v>25</v>
      </c>
      <c r="E24" s="1" t="s">
        <v>26</v>
      </c>
      <c r="F24" s="1" t="s">
        <v>25</v>
      </c>
      <c r="G24" s="1" t="s">
        <v>25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25</v>
      </c>
      <c r="N24" s="1" t="s">
        <v>25</v>
      </c>
      <c r="O24" s="1" t="s">
        <v>25</v>
      </c>
      <c r="P24" s="1" t="s">
        <v>25</v>
      </c>
      <c r="Q24" s="1" t="s">
        <v>26</v>
      </c>
      <c r="AB24" s="1">
        <v>3</v>
      </c>
      <c r="AC24" s="1">
        <v>1</v>
      </c>
      <c r="AD24" s="1">
        <v>4</v>
      </c>
      <c r="AE24" s="1">
        <v>10</v>
      </c>
      <c r="AF24" s="1">
        <v>4</v>
      </c>
      <c r="AG24" s="1">
        <v>1</v>
      </c>
    </row>
    <row r="25" spans="1:33" x14ac:dyDescent="0.25">
      <c r="A25" s="1">
        <v>25</v>
      </c>
      <c r="B25" s="1" t="s">
        <v>24</v>
      </c>
      <c r="C25" s="1" t="s">
        <v>26</v>
      </c>
      <c r="D25" s="1" t="s">
        <v>25</v>
      </c>
      <c r="E25" s="1" t="s">
        <v>26</v>
      </c>
      <c r="F25" s="1" t="s">
        <v>25</v>
      </c>
      <c r="G25" s="1" t="s">
        <v>25</v>
      </c>
      <c r="H25" s="1" t="s">
        <v>26</v>
      </c>
      <c r="I25" s="1" t="s">
        <v>25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25</v>
      </c>
      <c r="O25" s="1" t="s">
        <v>25</v>
      </c>
      <c r="P25" s="1" t="s">
        <v>25</v>
      </c>
      <c r="Q25" s="1" t="s">
        <v>26</v>
      </c>
      <c r="AB25" s="1">
        <v>6</v>
      </c>
      <c r="AC25" s="1">
        <v>3</v>
      </c>
      <c r="AD25" s="1">
        <v>2</v>
      </c>
      <c r="AE25" s="1">
        <v>8</v>
      </c>
      <c r="AF25" s="1">
        <v>6</v>
      </c>
      <c r="AG25" s="1">
        <v>2</v>
      </c>
    </row>
    <row r="26" spans="1:33" x14ac:dyDescent="0.25">
      <c r="A26" s="1">
        <v>26</v>
      </c>
      <c r="B26" s="1" t="s">
        <v>24</v>
      </c>
      <c r="C26" s="1" t="s">
        <v>26</v>
      </c>
      <c r="D26" s="1" t="s">
        <v>25</v>
      </c>
      <c r="E26" s="1" t="s">
        <v>25</v>
      </c>
      <c r="F26" s="1" t="s">
        <v>26</v>
      </c>
      <c r="G26" s="1" t="s">
        <v>26</v>
      </c>
      <c r="H26" s="1" t="s">
        <v>26</v>
      </c>
      <c r="I26" s="1" t="s">
        <v>26</v>
      </c>
      <c r="J26" s="1" t="s">
        <v>25</v>
      </c>
      <c r="K26" s="1" t="s">
        <v>25</v>
      </c>
      <c r="L26" s="1" t="s">
        <v>26</v>
      </c>
      <c r="M26" s="1" t="s">
        <v>26</v>
      </c>
      <c r="N26" s="1" t="s">
        <v>26</v>
      </c>
      <c r="O26" s="1" t="s">
        <v>25</v>
      </c>
      <c r="P26" s="1" t="s">
        <v>25</v>
      </c>
      <c r="Q26" s="1" t="s">
        <v>25</v>
      </c>
      <c r="AB26" s="1">
        <v>6</v>
      </c>
      <c r="AC26" s="1">
        <v>2</v>
      </c>
      <c r="AD26" s="1">
        <v>3</v>
      </c>
      <c r="AE26" s="1">
        <v>7</v>
      </c>
      <c r="AF26" s="1">
        <v>6</v>
      </c>
      <c r="AG26" s="1">
        <v>7</v>
      </c>
    </row>
    <row r="27" spans="1:33" x14ac:dyDescent="0.25">
      <c r="A27" s="1">
        <v>27</v>
      </c>
      <c r="B27" s="1" t="s">
        <v>24</v>
      </c>
      <c r="C27" s="1" t="s">
        <v>25</v>
      </c>
      <c r="D27" s="1" t="s">
        <v>25</v>
      </c>
      <c r="E27" s="1" t="s">
        <v>26</v>
      </c>
      <c r="F27" s="1" t="s">
        <v>25</v>
      </c>
      <c r="G27" s="1" t="s">
        <v>25</v>
      </c>
      <c r="H27" s="1" t="s">
        <v>25</v>
      </c>
      <c r="I27" s="1" t="s">
        <v>25</v>
      </c>
      <c r="J27" s="1" t="s">
        <v>26</v>
      </c>
      <c r="K27" s="1" t="s">
        <v>26</v>
      </c>
      <c r="L27" s="1" t="s">
        <v>26</v>
      </c>
      <c r="M27" s="1" t="s">
        <v>25</v>
      </c>
      <c r="N27" s="1" t="s">
        <v>25</v>
      </c>
      <c r="O27" s="1" t="s">
        <v>25</v>
      </c>
      <c r="P27" s="1" t="s">
        <v>26</v>
      </c>
      <c r="Q27" s="1" t="s">
        <v>26</v>
      </c>
      <c r="AB27" s="1">
        <v>7</v>
      </c>
      <c r="AC27" s="1">
        <v>8</v>
      </c>
      <c r="AD27" s="1">
        <v>6</v>
      </c>
      <c r="AE27" s="1">
        <v>7</v>
      </c>
      <c r="AF27" s="1">
        <v>7</v>
      </c>
      <c r="AG27" s="1">
        <v>8</v>
      </c>
    </row>
    <row r="28" spans="1:33" x14ac:dyDescent="0.25">
      <c r="A28" s="1">
        <v>22</v>
      </c>
      <c r="B28" s="1" t="s">
        <v>24</v>
      </c>
      <c r="C28" s="1" t="s">
        <v>26</v>
      </c>
      <c r="D28" s="1" t="s">
        <v>25</v>
      </c>
      <c r="E28" s="1" t="s">
        <v>26</v>
      </c>
      <c r="F28" s="1" t="s">
        <v>25</v>
      </c>
      <c r="G28" s="1" t="s">
        <v>25</v>
      </c>
      <c r="H28" s="1" t="s">
        <v>26</v>
      </c>
      <c r="I28" s="1" t="s">
        <v>26</v>
      </c>
      <c r="J28" s="1" t="s">
        <v>26</v>
      </c>
      <c r="K28" s="1" t="s">
        <v>26</v>
      </c>
      <c r="L28" s="1" t="s">
        <v>25</v>
      </c>
      <c r="M28" s="1" t="s">
        <v>25</v>
      </c>
      <c r="N28" s="1" t="s">
        <v>26</v>
      </c>
      <c r="O28" s="1" t="s">
        <v>25</v>
      </c>
      <c r="P28" s="1" t="s">
        <v>25</v>
      </c>
      <c r="Q28" s="1" t="s">
        <v>26</v>
      </c>
      <c r="AB28" s="1">
        <v>4</v>
      </c>
      <c r="AC28" s="1">
        <v>1</v>
      </c>
      <c r="AD28" s="1">
        <v>2</v>
      </c>
      <c r="AE28" s="1">
        <v>7</v>
      </c>
      <c r="AF28" s="1">
        <v>3</v>
      </c>
      <c r="AG28" s="1">
        <v>1</v>
      </c>
    </row>
    <row r="29" spans="1:33" x14ac:dyDescent="0.25">
      <c r="A29" s="1">
        <v>28</v>
      </c>
      <c r="B29" s="1" t="s">
        <v>24</v>
      </c>
      <c r="C29" s="1" t="s">
        <v>26</v>
      </c>
      <c r="D29" s="1" t="s">
        <v>26</v>
      </c>
      <c r="E29" s="1" t="s">
        <v>25</v>
      </c>
      <c r="F29" s="1" t="s">
        <v>26</v>
      </c>
      <c r="G29" s="1" t="s">
        <v>25</v>
      </c>
      <c r="H29" s="1" t="s">
        <v>26</v>
      </c>
      <c r="I29" s="1" t="s">
        <v>26</v>
      </c>
      <c r="J29" s="1" t="s">
        <v>26</v>
      </c>
      <c r="K29" s="1" t="s">
        <v>25</v>
      </c>
      <c r="L29" s="1" t="s">
        <v>25</v>
      </c>
      <c r="M29" s="1" t="s">
        <v>25</v>
      </c>
      <c r="N29" s="1" t="s">
        <v>25</v>
      </c>
      <c r="O29" s="1" t="s">
        <v>25</v>
      </c>
      <c r="P29" s="1" t="s">
        <v>25</v>
      </c>
      <c r="Q29" s="1" t="s">
        <v>26</v>
      </c>
      <c r="AB29" s="1">
        <v>2</v>
      </c>
      <c r="AC29" s="1">
        <v>1</v>
      </c>
      <c r="AD29" s="1">
        <v>4</v>
      </c>
      <c r="AE29" s="1">
        <v>8</v>
      </c>
      <c r="AF29" s="1">
        <v>4</v>
      </c>
      <c r="AG29" s="1">
        <v>5</v>
      </c>
    </row>
    <row r="30" spans="1:33" x14ac:dyDescent="0.25">
      <c r="A30" s="1">
        <v>29</v>
      </c>
      <c r="B30" s="1" t="s">
        <v>24</v>
      </c>
      <c r="C30" s="1" t="s">
        <v>26</v>
      </c>
      <c r="D30" s="1" t="s">
        <v>25</v>
      </c>
      <c r="E30" s="1" t="s">
        <v>25</v>
      </c>
      <c r="F30" s="1" t="s">
        <v>26</v>
      </c>
      <c r="G30" s="1" t="s">
        <v>25</v>
      </c>
      <c r="H30" s="1" t="s">
        <v>26</v>
      </c>
      <c r="I30" s="1" t="s">
        <v>26</v>
      </c>
      <c r="J30" s="1" t="s">
        <v>25</v>
      </c>
      <c r="K30" s="1" t="s">
        <v>26</v>
      </c>
      <c r="L30" s="1" t="s">
        <v>25</v>
      </c>
      <c r="M30" s="1" t="s">
        <v>26</v>
      </c>
      <c r="N30" s="1" t="s">
        <v>25</v>
      </c>
      <c r="O30" s="1" t="s">
        <v>25</v>
      </c>
      <c r="P30" s="1" t="s">
        <v>25</v>
      </c>
      <c r="Q30" s="1" t="s">
        <v>26</v>
      </c>
      <c r="AB30" s="1">
        <v>9</v>
      </c>
      <c r="AC30" s="1">
        <v>1</v>
      </c>
      <c r="AD30" s="1">
        <v>3</v>
      </c>
      <c r="AE30" s="1">
        <v>7</v>
      </c>
      <c r="AF30" s="1">
        <v>3</v>
      </c>
      <c r="AG30" s="1">
        <v>1</v>
      </c>
    </row>
    <row r="31" spans="1:33" x14ac:dyDescent="0.25">
      <c r="R31" s="2" t="s">
        <v>52</v>
      </c>
      <c r="S31" s="2" t="s">
        <v>53</v>
      </c>
      <c r="T31" s="2" t="s">
        <v>54</v>
      </c>
      <c r="U31" s="2" t="s">
        <v>55</v>
      </c>
      <c r="V31" s="2" t="s">
        <v>56</v>
      </c>
      <c r="W31" s="2" t="s">
        <v>57</v>
      </c>
      <c r="X31" s="2" t="s">
        <v>58</v>
      </c>
    </row>
    <row r="32" spans="1:33" x14ac:dyDescent="0.25">
      <c r="A32" s="1">
        <v>1</v>
      </c>
      <c r="B32" s="1" t="s">
        <v>24</v>
      </c>
      <c r="C32" t="str">
        <f>IF(C2="A","Effort","Performance")</f>
        <v>Effort</v>
      </c>
      <c r="D32" t="str">
        <f>IF(D2="A","Temporal Demand", "Frustration")</f>
        <v>Temporal Demand</v>
      </c>
      <c r="E32" t="str">
        <f>IF(E2="A","Temporal Demand", "Effort")</f>
        <v>Temporal Demand</v>
      </c>
      <c r="F32" t="str">
        <f>IF(F2="A","Physical Demand","Frustration")</f>
        <v>Physical Demand</v>
      </c>
      <c r="G32" t="str">
        <f>IF(G2="A","Performance","Frustration")</f>
        <v>Frustration</v>
      </c>
      <c r="H32" t="str">
        <f>IF(H2="A","Physical Demand", "Temporal Demand")</f>
        <v>Physical Demand</v>
      </c>
      <c r="I32" t="str">
        <f>IF(I2="A","Physical Demand", "Performance")</f>
        <v>Physical Demand</v>
      </c>
      <c r="J32" t="str">
        <f>IF(J2="A","Temporal Demand", "Mental Demand")</f>
        <v>Temporal Demand</v>
      </c>
      <c r="K32" t="str">
        <f>IF(K2="A","Frustration", "Effort")</f>
        <v>Effort</v>
      </c>
      <c r="L32" t="str">
        <f>IF(L2="A","Performance","Mental Demand")</f>
        <v>Mental Demand</v>
      </c>
      <c r="M32" t="str">
        <f>IF(M2="A","Performance","Temporal Demand")</f>
        <v>Temporal Demand</v>
      </c>
      <c r="N32" t="str">
        <f>IF(N2="A","Mental Demand", "Effort")</f>
        <v>Effort</v>
      </c>
      <c r="O32" t="str">
        <f>IF(O2="A","Mental Demand", "Physical Demand")</f>
        <v>Physical Demand</v>
      </c>
      <c r="P32" t="str">
        <f>IF(P2="A","Effort", "Physical Demand")</f>
        <v>Physical Demand</v>
      </c>
      <c r="Q32" t="str">
        <f>IF(Q2="A","Frustration", "Mental Demand")</f>
        <v>Mental Demand</v>
      </c>
      <c r="R32">
        <f>COUNTIF(C32:Q32,R$31)</f>
        <v>2</v>
      </c>
      <c r="S32">
        <f>COUNTIF(C32:Q32,S$31)</f>
        <v>5</v>
      </c>
      <c r="T32">
        <f>COUNTIF(C32:Q32,T$31)</f>
        <v>4</v>
      </c>
      <c r="U32">
        <f>COUNTIF(C32:Q32,U$31)</f>
        <v>0</v>
      </c>
      <c r="V32">
        <f>COUNTIF(C32:Q32,V$31)</f>
        <v>3</v>
      </c>
      <c r="W32">
        <f>COUNTIF(C32:Q32,W$31)</f>
        <v>1</v>
      </c>
      <c r="X32">
        <f>SUM(R32:W32)</f>
        <v>15</v>
      </c>
    </row>
    <row r="33" spans="1:24" x14ac:dyDescent="0.25">
      <c r="A33" s="1">
        <v>2</v>
      </c>
      <c r="B33" s="1" t="s">
        <v>24</v>
      </c>
      <c r="C33" t="str">
        <f t="shared" ref="C33:C60" si="0">IF(C3="A","Effort","Performance")</f>
        <v>Effort</v>
      </c>
      <c r="D33" t="str">
        <f t="shared" ref="D33:D60" si="1">IF(D3="A","Temporal Demand", "Frustration")</f>
        <v>Temporal Demand</v>
      </c>
      <c r="E33" t="str">
        <f t="shared" ref="E33:E60" si="2">IF(E3="A","Temporal Demand", "Effort")</f>
        <v>Temporal Demand</v>
      </c>
      <c r="F33" t="str">
        <f t="shared" ref="F33:F60" si="3">IF(F3="A","Physical Demand","Frustration")</f>
        <v>Physical Demand</v>
      </c>
      <c r="G33" t="str">
        <f t="shared" ref="G33:G60" si="4">IF(G3="A","Performance","Frustration")</f>
        <v>Performance</v>
      </c>
      <c r="H33" t="str">
        <f t="shared" ref="H33:H60" si="5">IF(H3="A","Physical Demand", "Temporal Demand")</f>
        <v>Physical Demand</v>
      </c>
      <c r="I33" t="str">
        <f t="shared" ref="I33:I60" si="6">IF(I3="A","Physical Demand", "Performance")</f>
        <v>Physical Demand</v>
      </c>
      <c r="J33" t="str">
        <f t="shared" ref="J33:J60" si="7">IF(J3="A","Temporal Demand", "Mental Demand")</f>
        <v>Temporal Demand</v>
      </c>
      <c r="K33" t="str">
        <f t="shared" ref="K33:K60" si="8">IF(K3="A","Frustration", "Effort")</f>
        <v>Effort</v>
      </c>
      <c r="L33" t="str">
        <f t="shared" ref="L33:L60" si="9">IF(L3="A","Performance","Mental Demand")</f>
        <v>Performance</v>
      </c>
      <c r="M33" t="str">
        <f t="shared" ref="M33:M60" si="10">IF(M3="A","Performance","Temporal Demand")</f>
        <v>Performance</v>
      </c>
      <c r="N33" t="str">
        <f t="shared" ref="N33:N60" si="11">IF(N3="A","Mental Demand", "Effort")</f>
        <v>Effort</v>
      </c>
      <c r="O33" t="str">
        <f t="shared" ref="O33:O60" si="12">IF(O3="A","Mental Demand", "Physical Demand")</f>
        <v>Physical Demand</v>
      </c>
      <c r="P33" t="str">
        <f t="shared" ref="P33:P60" si="13">IF(P3="A","Effort", "Physical Demand")</f>
        <v>Physical Demand</v>
      </c>
      <c r="Q33" t="str">
        <f t="shared" ref="Q33:Q60" si="14">IF(Q3="A","Frustration", "Mental Demand")</f>
        <v>Mental Demand</v>
      </c>
      <c r="R33">
        <f t="shared" ref="R33:R60" si="15">COUNTIF(C33:Q33,R$31)</f>
        <v>1</v>
      </c>
      <c r="S33">
        <f t="shared" ref="S33:S60" si="16">COUNTIF(C33:Q33,S$31)</f>
        <v>5</v>
      </c>
      <c r="T33">
        <f t="shared" ref="T33:T60" si="17">COUNTIF(C33:Q33,T$31)</f>
        <v>3</v>
      </c>
      <c r="U33">
        <f t="shared" ref="U33:U60" si="18">COUNTIF(C33:Q33,U$31)</f>
        <v>3</v>
      </c>
      <c r="V33">
        <f t="shared" ref="V33:V60" si="19">COUNTIF(C33:Q33,V$31)</f>
        <v>3</v>
      </c>
      <c r="W33">
        <f t="shared" ref="W33:W60" si="20">COUNTIF(C33:Q33,W$31)</f>
        <v>0</v>
      </c>
      <c r="X33">
        <f t="shared" ref="X33:X60" si="21">SUM(R33:W33)</f>
        <v>15</v>
      </c>
    </row>
    <row r="34" spans="1:24" x14ac:dyDescent="0.25">
      <c r="A34" s="1">
        <v>3</v>
      </c>
      <c r="B34" s="1" t="s">
        <v>24</v>
      </c>
      <c r="C34" t="str">
        <f t="shared" si="0"/>
        <v>Performance</v>
      </c>
      <c r="D34" t="str">
        <f t="shared" si="1"/>
        <v>Temporal Demand</v>
      </c>
      <c r="E34" t="str">
        <f t="shared" si="2"/>
        <v>Temporal Demand</v>
      </c>
      <c r="F34" t="str">
        <f t="shared" si="3"/>
        <v>Frustration</v>
      </c>
      <c r="G34" t="str">
        <f t="shared" si="4"/>
        <v>Performance</v>
      </c>
      <c r="H34" t="str">
        <f t="shared" si="5"/>
        <v>Temporal Demand</v>
      </c>
      <c r="I34" t="str">
        <f t="shared" si="6"/>
        <v>Performance</v>
      </c>
      <c r="J34" t="str">
        <f t="shared" si="7"/>
        <v>Mental Demand</v>
      </c>
      <c r="K34" t="str">
        <f t="shared" si="8"/>
        <v>Effort</v>
      </c>
      <c r="L34" t="str">
        <f t="shared" si="9"/>
        <v>Performance</v>
      </c>
      <c r="M34" t="str">
        <f t="shared" si="10"/>
        <v>Temporal Demand</v>
      </c>
      <c r="N34" t="str">
        <f t="shared" si="11"/>
        <v>Mental Demand</v>
      </c>
      <c r="O34" t="str">
        <f t="shared" si="12"/>
        <v>Mental Demand</v>
      </c>
      <c r="P34" t="str">
        <f t="shared" si="13"/>
        <v>Effort</v>
      </c>
      <c r="Q34" t="str">
        <f t="shared" si="14"/>
        <v>Mental Demand</v>
      </c>
      <c r="R34">
        <f t="shared" si="15"/>
        <v>4</v>
      </c>
      <c r="S34">
        <f t="shared" si="16"/>
        <v>0</v>
      </c>
      <c r="T34">
        <f t="shared" si="17"/>
        <v>4</v>
      </c>
      <c r="U34">
        <f t="shared" si="18"/>
        <v>4</v>
      </c>
      <c r="V34">
        <f t="shared" si="19"/>
        <v>2</v>
      </c>
      <c r="W34">
        <f t="shared" si="20"/>
        <v>1</v>
      </c>
      <c r="X34">
        <f t="shared" si="21"/>
        <v>15</v>
      </c>
    </row>
    <row r="35" spans="1:24" x14ac:dyDescent="0.25">
      <c r="A35" s="1">
        <v>4</v>
      </c>
      <c r="B35" s="1" t="s">
        <v>24</v>
      </c>
      <c r="C35" t="str">
        <f t="shared" si="0"/>
        <v>Performance</v>
      </c>
      <c r="D35" t="str">
        <f t="shared" si="1"/>
        <v>Temporal Demand</v>
      </c>
      <c r="E35" t="str">
        <f t="shared" si="2"/>
        <v>Temporal Demand</v>
      </c>
      <c r="F35" t="str">
        <f t="shared" si="3"/>
        <v>Physical Demand</v>
      </c>
      <c r="G35" t="str">
        <f t="shared" si="4"/>
        <v>Performance</v>
      </c>
      <c r="H35" t="str">
        <f t="shared" si="5"/>
        <v>Temporal Demand</v>
      </c>
      <c r="I35" t="str">
        <f t="shared" si="6"/>
        <v>Performance</v>
      </c>
      <c r="J35" t="str">
        <f t="shared" si="7"/>
        <v>Mental Demand</v>
      </c>
      <c r="K35" t="str">
        <f t="shared" si="8"/>
        <v>Effort</v>
      </c>
      <c r="L35" t="str">
        <f t="shared" si="9"/>
        <v>Mental Demand</v>
      </c>
      <c r="M35" t="str">
        <f t="shared" si="10"/>
        <v>Performance</v>
      </c>
      <c r="N35" t="str">
        <f t="shared" si="11"/>
        <v>Mental Demand</v>
      </c>
      <c r="O35" t="str">
        <f t="shared" si="12"/>
        <v>Mental Demand</v>
      </c>
      <c r="P35" t="str">
        <f t="shared" si="13"/>
        <v>Effort</v>
      </c>
      <c r="Q35" t="str">
        <f t="shared" si="14"/>
        <v>Mental Demand</v>
      </c>
      <c r="R35">
        <f t="shared" si="15"/>
        <v>5</v>
      </c>
      <c r="S35">
        <f t="shared" si="16"/>
        <v>1</v>
      </c>
      <c r="T35">
        <f t="shared" si="17"/>
        <v>3</v>
      </c>
      <c r="U35">
        <f t="shared" si="18"/>
        <v>4</v>
      </c>
      <c r="V35">
        <f t="shared" si="19"/>
        <v>2</v>
      </c>
      <c r="W35">
        <f t="shared" si="20"/>
        <v>0</v>
      </c>
      <c r="X35">
        <f t="shared" si="21"/>
        <v>15</v>
      </c>
    </row>
    <row r="36" spans="1:24" x14ac:dyDescent="0.25">
      <c r="A36" s="1">
        <v>5</v>
      </c>
      <c r="B36" s="1" t="s">
        <v>24</v>
      </c>
      <c r="C36" t="str">
        <f t="shared" si="0"/>
        <v>Effort</v>
      </c>
      <c r="D36" t="str">
        <f t="shared" si="1"/>
        <v>Temporal Demand</v>
      </c>
      <c r="E36" t="str">
        <f t="shared" si="2"/>
        <v>Effort</v>
      </c>
      <c r="F36" t="str">
        <f t="shared" si="3"/>
        <v>Physical Demand</v>
      </c>
      <c r="G36" t="str">
        <f t="shared" si="4"/>
        <v>Performance</v>
      </c>
      <c r="H36" t="str">
        <f t="shared" si="5"/>
        <v>Physical Demand</v>
      </c>
      <c r="I36" t="str">
        <f t="shared" si="6"/>
        <v>Physical Demand</v>
      </c>
      <c r="J36" t="str">
        <f t="shared" si="7"/>
        <v>Mental Demand</v>
      </c>
      <c r="K36" t="str">
        <f t="shared" si="8"/>
        <v>Effort</v>
      </c>
      <c r="L36" t="str">
        <f t="shared" si="9"/>
        <v>Mental Demand</v>
      </c>
      <c r="M36" t="str">
        <f t="shared" si="10"/>
        <v>Performance</v>
      </c>
      <c r="N36" t="str">
        <f t="shared" si="11"/>
        <v>Mental Demand</v>
      </c>
      <c r="O36" t="str">
        <f t="shared" si="12"/>
        <v>Mental Demand</v>
      </c>
      <c r="P36" t="str">
        <f t="shared" si="13"/>
        <v>Effort</v>
      </c>
      <c r="Q36" t="str">
        <f t="shared" si="14"/>
        <v>Mental Demand</v>
      </c>
      <c r="R36">
        <f t="shared" si="15"/>
        <v>5</v>
      </c>
      <c r="S36">
        <f t="shared" si="16"/>
        <v>3</v>
      </c>
      <c r="T36">
        <f t="shared" si="17"/>
        <v>1</v>
      </c>
      <c r="U36">
        <f t="shared" si="18"/>
        <v>2</v>
      </c>
      <c r="V36">
        <f t="shared" si="19"/>
        <v>4</v>
      </c>
      <c r="W36">
        <f t="shared" si="20"/>
        <v>0</v>
      </c>
      <c r="X36">
        <f t="shared" si="21"/>
        <v>15</v>
      </c>
    </row>
    <row r="37" spans="1:24" x14ac:dyDescent="0.25">
      <c r="A37" s="1">
        <v>6</v>
      </c>
      <c r="B37" s="1" t="s">
        <v>24</v>
      </c>
      <c r="C37" t="str">
        <f t="shared" si="0"/>
        <v>Performance</v>
      </c>
      <c r="D37" t="str">
        <f t="shared" si="1"/>
        <v>Frustration</v>
      </c>
      <c r="E37" t="str">
        <f t="shared" si="2"/>
        <v>Effort</v>
      </c>
      <c r="F37" t="str">
        <f t="shared" si="3"/>
        <v>Frustration</v>
      </c>
      <c r="G37" t="str">
        <f t="shared" si="4"/>
        <v>Performance</v>
      </c>
      <c r="H37" t="str">
        <f t="shared" si="5"/>
        <v>Physical Demand</v>
      </c>
      <c r="I37" t="str">
        <f t="shared" si="6"/>
        <v>Physical Demand</v>
      </c>
      <c r="J37" t="str">
        <f t="shared" si="7"/>
        <v>Mental Demand</v>
      </c>
      <c r="K37" t="str">
        <f t="shared" si="8"/>
        <v>Effort</v>
      </c>
      <c r="L37" t="str">
        <f t="shared" si="9"/>
        <v>Mental Demand</v>
      </c>
      <c r="M37" t="str">
        <f t="shared" si="10"/>
        <v>Performance</v>
      </c>
      <c r="N37" t="str">
        <f t="shared" si="11"/>
        <v>Mental Demand</v>
      </c>
      <c r="O37" t="str">
        <f t="shared" si="12"/>
        <v>Mental Demand</v>
      </c>
      <c r="P37" t="str">
        <f t="shared" si="13"/>
        <v>Effort</v>
      </c>
      <c r="Q37" t="str">
        <f t="shared" si="14"/>
        <v>Mental Demand</v>
      </c>
      <c r="R37">
        <f t="shared" si="15"/>
        <v>5</v>
      </c>
      <c r="S37">
        <f t="shared" si="16"/>
        <v>2</v>
      </c>
      <c r="T37">
        <f t="shared" si="17"/>
        <v>0</v>
      </c>
      <c r="U37">
        <f t="shared" si="18"/>
        <v>3</v>
      </c>
      <c r="V37">
        <f t="shared" si="19"/>
        <v>3</v>
      </c>
      <c r="W37">
        <f t="shared" si="20"/>
        <v>2</v>
      </c>
      <c r="X37">
        <f t="shared" si="21"/>
        <v>15</v>
      </c>
    </row>
    <row r="38" spans="1:24" x14ac:dyDescent="0.25">
      <c r="A38" s="1">
        <v>7</v>
      </c>
      <c r="B38" s="1" t="s">
        <v>24</v>
      </c>
      <c r="C38" t="str">
        <f t="shared" si="0"/>
        <v>Effort</v>
      </c>
      <c r="D38" t="str">
        <f t="shared" si="1"/>
        <v>Temporal Demand</v>
      </c>
      <c r="E38" t="str">
        <f t="shared" si="2"/>
        <v>Effort</v>
      </c>
      <c r="F38" t="str">
        <f t="shared" si="3"/>
        <v>Physical Demand</v>
      </c>
      <c r="G38" t="str">
        <f t="shared" si="4"/>
        <v>Performance</v>
      </c>
      <c r="H38" t="str">
        <f t="shared" si="5"/>
        <v>Temporal Demand</v>
      </c>
      <c r="I38" t="str">
        <f t="shared" si="6"/>
        <v>Performance</v>
      </c>
      <c r="J38" t="str">
        <f t="shared" si="7"/>
        <v>Mental Demand</v>
      </c>
      <c r="K38" t="str">
        <f t="shared" si="8"/>
        <v>Effort</v>
      </c>
      <c r="L38" t="str">
        <f t="shared" si="9"/>
        <v>Mental Demand</v>
      </c>
      <c r="M38" t="str">
        <f t="shared" si="10"/>
        <v>Performance</v>
      </c>
      <c r="N38" t="str">
        <f t="shared" si="11"/>
        <v>Mental Demand</v>
      </c>
      <c r="O38" t="str">
        <f t="shared" si="12"/>
        <v>Mental Demand</v>
      </c>
      <c r="P38" t="str">
        <f t="shared" si="13"/>
        <v>Effort</v>
      </c>
      <c r="Q38" t="str">
        <f t="shared" si="14"/>
        <v>Mental Demand</v>
      </c>
      <c r="R38">
        <f t="shared" si="15"/>
        <v>5</v>
      </c>
      <c r="S38">
        <f t="shared" si="16"/>
        <v>1</v>
      </c>
      <c r="T38">
        <f t="shared" si="17"/>
        <v>2</v>
      </c>
      <c r="U38">
        <f t="shared" si="18"/>
        <v>3</v>
      </c>
      <c r="V38">
        <f t="shared" si="19"/>
        <v>4</v>
      </c>
      <c r="W38">
        <f t="shared" si="20"/>
        <v>0</v>
      </c>
      <c r="X38">
        <f t="shared" si="21"/>
        <v>15</v>
      </c>
    </row>
    <row r="39" spans="1:24" x14ac:dyDescent="0.25">
      <c r="A39" s="1">
        <v>8</v>
      </c>
      <c r="B39" s="1" t="s">
        <v>24</v>
      </c>
      <c r="C39" t="str">
        <f t="shared" si="0"/>
        <v>Effort</v>
      </c>
      <c r="D39" t="str">
        <f t="shared" si="1"/>
        <v>Temporal Demand</v>
      </c>
      <c r="E39" t="str">
        <f t="shared" si="2"/>
        <v>Temporal Demand</v>
      </c>
      <c r="F39" t="str">
        <f t="shared" si="3"/>
        <v>Frustration</v>
      </c>
      <c r="G39" t="str">
        <f t="shared" si="4"/>
        <v>Frustration</v>
      </c>
      <c r="H39" t="str">
        <f t="shared" si="5"/>
        <v>Temporal Demand</v>
      </c>
      <c r="I39" t="str">
        <f t="shared" si="6"/>
        <v>Performance</v>
      </c>
      <c r="J39" t="str">
        <f t="shared" si="7"/>
        <v>Temporal Demand</v>
      </c>
      <c r="K39" t="str">
        <f t="shared" si="8"/>
        <v>Frustration</v>
      </c>
      <c r="L39" t="str">
        <f t="shared" si="9"/>
        <v>Mental Demand</v>
      </c>
      <c r="M39" t="str">
        <f t="shared" si="10"/>
        <v>Temporal Demand</v>
      </c>
      <c r="N39" t="str">
        <f t="shared" si="11"/>
        <v>Mental Demand</v>
      </c>
      <c r="O39" t="str">
        <f t="shared" si="12"/>
        <v>Mental Demand</v>
      </c>
      <c r="P39" t="str">
        <f t="shared" si="13"/>
        <v>Effort</v>
      </c>
      <c r="Q39" t="str">
        <f t="shared" si="14"/>
        <v>Mental Demand</v>
      </c>
      <c r="R39">
        <f t="shared" si="15"/>
        <v>4</v>
      </c>
      <c r="S39">
        <f t="shared" si="16"/>
        <v>0</v>
      </c>
      <c r="T39">
        <f t="shared" si="17"/>
        <v>5</v>
      </c>
      <c r="U39">
        <f t="shared" si="18"/>
        <v>1</v>
      </c>
      <c r="V39">
        <f t="shared" si="19"/>
        <v>2</v>
      </c>
      <c r="W39">
        <f t="shared" si="20"/>
        <v>3</v>
      </c>
      <c r="X39">
        <f t="shared" si="21"/>
        <v>15</v>
      </c>
    </row>
    <row r="40" spans="1:24" x14ac:dyDescent="0.25">
      <c r="A40" s="1">
        <v>9</v>
      </c>
      <c r="B40" s="1" t="s">
        <v>24</v>
      </c>
      <c r="C40" t="str">
        <f t="shared" si="0"/>
        <v>Effort</v>
      </c>
      <c r="D40" t="str">
        <f t="shared" si="1"/>
        <v>Frustration</v>
      </c>
      <c r="E40" t="str">
        <f t="shared" si="2"/>
        <v>Effort</v>
      </c>
      <c r="F40" t="str">
        <f t="shared" si="3"/>
        <v>Frustration</v>
      </c>
      <c r="G40" t="str">
        <f t="shared" si="4"/>
        <v>Frustration</v>
      </c>
      <c r="H40" t="str">
        <f t="shared" si="5"/>
        <v>Physical Demand</v>
      </c>
      <c r="I40" t="str">
        <f t="shared" si="6"/>
        <v>Performance</v>
      </c>
      <c r="J40" t="str">
        <f t="shared" si="7"/>
        <v>Mental Demand</v>
      </c>
      <c r="K40" t="str">
        <f t="shared" si="8"/>
        <v>Effort</v>
      </c>
      <c r="L40" t="str">
        <f t="shared" si="9"/>
        <v>Mental Demand</v>
      </c>
      <c r="M40" t="str">
        <f t="shared" si="10"/>
        <v>Performance</v>
      </c>
      <c r="N40" t="str">
        <f t="shared" si="11"/>
        <v>Mental Demand</v>
      </c>
      <c r="O40" t="str">
        <f t="shared" si="12"/>
        <v>Mental Demand</v>
      </c>
      <c r="P40" t="str">
        <f t="shared" si="13"/>
        <v>Effort</v>
      </c>
      <c r="Q40" t="str">
        <f t="shared" si="14"/>
        <v>Mental Demand</v>
      </c>
      <c r="R40">
        <f t="shared" si="15"/>
        <v>5</v>
      </c>
      <c r="S40">
        <f t="shared" si="16"/>
        <v>1</v>
      </c>
      <c r="T40">
        <f t="shared" si="17"/>
        <v>0</v>
      </c>
      <c r="U40">
        <f t="shared" si="18"/>
        <v>2</v>
      </c>
      <c r="V40">
        <f t="shared" si="19"/>
        <v>4</v>
      </c>
      <c r="W40">
        <f t="shared" si="20"/>
        <v>3</v>
      </c>
      <c r="X40">
        <f t="shared" si="21"/>
        <v>15</v>
      </c>
    </row>
    <row r="41" spans="1:24" x14ac:dyDescent="0.25">
      <c r="A41" s="1">
        <v>10</v>
      </c>
      <c r="B41" s="1" t="s">
        <v>24</v>
      </c>
      <c r="C41" t="str">
        <f t="shared" si="0"/>
        <v>Performance</v>
      </c>
      <c r="D41" t="str">
        <f t="shared" si="1"/>
        <v>Temporal Demand</v>
      </c>
      <c r="E41" t="str">
        <f t="shared" si="2"/>
        <v>Temporal Demand</v>
      </c>
      <c r="F41" t="str">
        <f t="shared" si="3"/>
        <v>Physical Demand</v>
      </c>
      <c r="G41" t="str">
        <f t="shared" si="4"/>
        <v>Performance</v>
      </c>
      <c r="H41" t="str">
        <f t="shared" si="5"/>
        <v>Temporal Demand</v>
      </c>
      <c r="I41" t="str">
        <f t="shared" si="6"/>
        <v>Performance</v>
      </c>
      <c r="J41" t="str">
        <f t="shared" si="7"/>
        <v>Temporal Demand</v>
      </c>
      <c r="K41" t="str">
        <f t="shared" si="8"/>
        <v>Effort</v>
      </c>
      <c r="L41" t="str">
        <f t="shared" si="9"/>
        <v>Performance</v>
      </c>
      <c r="M41" t="str">
        <f t="shared" si="10"/>
        <v>Performance</v>
      </c>
      <c r="N41" t="str">
        <f t="shared" si="11"/>
        <v>Mental Demand</v>
      </c>
      <c r="O41" t="str">
        <f t="shared" si="12"/>
        <v>Mental Demand</v>
      </c>
      <c r="P41" t="str">
        <f t="shared" si="13"/>
        <v>Effort</v>
      </c>
      <c r="Q41" t="str">
        <f t="shared" si="14"/>
        <v>Mental Demand</v>
      </c>
      <c r="R41">
        <f t="shared" si="15"/>
        <v>3</v>
      </c>
      <c r="S41">
        <f t="shared" si="16"/>
        <v>1</v>
      </c>
      <c r="T41">
        <f t="shared" si="17"/>
        <v>4</v>
      </c>
      <c r="U41">
        <f t="shared" si="18"/>
        <v>5</v>
      </c>
      <c r="V41">
        <f t="shared" si="19"/>
        <v>2</v>
      </c>
      <c r="W41">
        <f t="shared" si="20"/>
        <v>0</v>
      </c>
      <c r="X41">
        <f t="shared" si="21"/>
        <v>15</v>
      </c>
    </row>
    <row r="42" spans="1:24" x14ac:dyDescent="0.25">
      <c r="A42" s="1">
        <v>11</v>
      </c>
      <c r="B42" s="1" t="s">
        <v>24</v>
      </c>
      <c r="C42" t="str">
        <f t="shared" si="0"/>
        <v>Performance</v>
      </c>
      <c r="D42" t="str">
        <f t="shared" si="1"/>
        <v>Frustration</v>
      </c>
      <c r="E42" t="str">
        <f t="shared" si="2"/>
        <v>Effort</v>
      </c>
      <c r="F42" t="str">
        <f t="shared" si="3"/>
        <v>Frustration</v>
      </c>
      <c r="G42" t="str">
        <f t="shared" si="4"/>
        <v>Performance</v>
      </c>
      <c r="H42" t="str">
        <f t="shared" si="5"/>
        <v>Physical Demand</v>
      </c>
      <c r="I42" t="str">
        <f t="shared" si="6"/>
        <v>Performance</v>
      </c>
      <c r="J42" t="str">
        <f t="shared" si="7"/>
        <v>Mental Demand</v>
      </c>
      <c r="K42" t="str">
        <f t="shared" si="8"/>
        <v>Effort</v>
      </c>
      <c r="L42" t="str">
        <f t="shared" si="9"/>
        <v>Performance</v>
      </c>
      <c r="M42" t="str">
        <f t="shared" si="10"/>
        <v>Performance</v>
      </c>
      <c r="N42" t="str">
        <f t="shared" si="11"/>
        <v>Effort</v>
      </c>
      <c r="O42" t="str">
        <f t="shared" si="12"/>
        <v>Mental Demand</v>
      </c>
      <c r="P42" t="str">
        <f t="shared" si="13"/>
        <v>Effort</v>
      </c>
      <c r="Q42" t="str">
        <f t="shared" si="14"/>
        <v>Frustration</v>
      </c>
      <c r="R42">
        <f t="shared" si="15"/>
        <v>2</v>
      </c>
      <c r="S42">
        <f t="shared" si="16"/>
        <v>1</v>
      </c>
      <c r="T42">
        <f t="shared" si="17"/>
        <v>0</v>
      </c>
      <c r="U42">
        <f t="shared" si="18"/>
        <v>5</v>
      </c>
      <c r="V42">
        <f t="shared" si="19"/>
        <v>4</v>
      </c>
      <c r="W42">
        <f t="shared" si="20"/>
        <v>3</v>
      </c>
      <c r="X42">
        <f t="shared" si="21"/>
        <v>15</v>
      </c>
    </row>
    <row r="43" spans="1:24" x14ac:dyDescent="0.25">
      <c r="A43" s="1">
        <v>12</v>
      </c>
      <c r="B43" s="1" t="s">
        <v>24</v>
      </c>
      <c r="C43" t="str">
        <f t="shared" si="0"/>
        <v>Effort</v>
      </c>
      <c r="D43" t="str">
        <f t="shared" si="1"/>
        <v>Temporal Demand</v>
      </c>
      <c r="E43" t="str">
        <f t="shared" si="2"/>
        <v>Temporal Demand</v>
      </c>
      <c r="F43" t="str">
        <f t="shared" si="3"/>
        <v>Frustration</v>
      </c>
      <c r="G43" t="str">
        <f t="shared" si="4"/>
        <v>Frustration</v>
      </c>
      <c r="H43" t="str">
        <f t="shared" si="5"/>
        <v>Temporal Demand</v>
      </c>
      <c r="I43" t="str">
        <f t="shared" si="6"/>
        <v>Performance</v>
      </c>
      <c r="J43" t="str">
        <f t="shared" si="7"/>
        <v>Temporal Demand</v>
      </c>
      <c r="K43" t="str">
        <f t="shared" si="8"/>
        <v>Frustration</v>
      </c>
      <c r="L43" t="str">
        <f t="shared" si="9"/>
        <v>Performance</v>
      </c>
      <c r="M43" t="str">
        <f t="shared" si="10"/>
        <v>Performance</v>
      </c>
      <c r="N43" t="str">
        <f t="shared" si="11"/>
        <v>Mental Demand</v>
      </c>
      <c r="O43" t="str">
        <f t="shared" si="12"/>
        <v>Mental Demand</v>
      </c>
      <c r="P43" t="str">
        <f t="shared" si="13"/>
        <v>Effort</v>
      </c>
      <c r="Q43" t="str">
        <f t="shared" si="14"/>
        <v>Mental Demand</v>
      </c>
      <c r="R43">
        <f t="shared" si="15"/>
        <v>3</v>
      </c>
      <c r="S43">
        <f t="shared" si="16"/>
        <v>0</v>
      </c>
      <c r="T43">
        <f t="shared" si="17"/>
        <v>4</v>
      </c>
      <c r="U43">
        <f t="shared" si="18"/>
        <v>3</v>
      </c>
      <c r="V43">
        <f t="shared" si="19"/>
        <v>2</v>
      </c>
      <c r="W43">
        <f t="shared" si="20"/>
        <v>3</v>
      </c>
      <c r="X43">
        <f t="shared" si="21"/>
        <v>15</v>
      </c>
    </row>
    <row r="44" spans="1:24" x14ac:dyDescent="0.25">
      <c r="A44" s="1">
        <v>13</v>
      </c>
      <c r="B44" s="1" t="s">
        <v>24</v>
      </c>
      <c r="C44" t="str">
        <f t="shared" si="0"/>
        <v>Effort</v>
      </c>
      <c r="D44" t="str">
        <f t="shared" si="1"/>
        <v>Temporal Demand</v>
      </c>
      <c r="E44" t="str">
        <f t="shared" si="2"/>
        <v>Temporal Demand</v>
      </c>
      <c r="F44" t="str">
        <f t="shared" si="3"/>
        <v>Physical Demand</v>
      </c>
      <c r="G44" t="str">
        <f t="shared" si="4"/>
        <v>Frustration</v>
      </c>
      <c r="H44" t="str">
        <f t="shared" si="5"/>
        <v>Physical Demand</v>
      </c>
      <c r="I44" t="str">
        <f t="shared" si="6"/>
        <v>Physical Demand</v>
      </c>
      <c r="J44" t="str">
        <f t="shared" si="7"/>
        <v>Mental Demand</v>
      </c>
      <c r="K44" t="str">
        <f t="shared" si="8"/>
        <v>Effort</v>
      </c>
      <c r="L44" t="str">
        <f t="shared" si="9"/>
        <v>Mental Demand</v>
      </c>
      <c r="M44" t="str">
        <f t="shared" si="10"/>
        <v>Temporal Demand</v>
      </c>
      <c r="N44" t="str">
        <f t="shared" si="11"/>
        <v>Effort</v>
      </c>
      <c r="O44" t="str">
        <f t="shared" si="12"/>
        <v>Physical Demand</v>
      </c>
      <c r="P44" t="str">
        <f t="shared" si="13"/>
        <v>Physical Demand</v>
      </c>
      <c r="Q44" t="str">
        <f t="shared" si="14"/>
        <v>Mental Demand</v>
      </c>
      <c r="R44">
        <f t="shared" si="15"/>
        <v>3</v>
      </c>
      <c r="S44">
        <f t="shared" si="16"/>
        <v>5</v>
      </c>
      <c r="T44">
        <f t="shared" si="17"/>
        <v>3</v>
      </c>
      <c r="U44">
        <f t="shared" si="18"/>
        <v>0</v>
      </c>
      <c r="V44">
        <f t="shared" si="19"/>
        <v>3</v>
      </c>
      <c r="W44">
        <f t="shared" si="20"/>
        <v>1</v>
      </c>
      <c r="X44">
        <f t="shared" si="21"/>
        <v>15</v>
      </c>
    </row>
    <row r="45" spans="1:24" x14ac:dyDescent="0.25">
      <c r="A45" s="1">
        <v>14</v>
      </c>
      <c r="B45" s="1" t="s">
        <v>24</v>
      </c>
      <c r="C45" t="str">
        <f t="shared" si="0"/>
        <v>Effort</v>
      </c>
      <c r="D45" t="str">
        <f t="shared" si="1"/>
        <v>Temporal Demand</v>
      </c>
      <c r="E45" t="str">
        <f t="shared" si="2"/>
        <v>Effort</v>
      </c>
      <c r="F45" t="str">
        <f t="shared" si="3"/>
        <v>Frustration</v>
      </c>
      <c r="G45" t="str">
        <f t="shared" si="4"/>
        <v>Frustration</v>
      </c>
      <c r="H45" t="str">
        <f t="shared" si="5"/>
        <v>Temporal Demand</v>
      </c>
      <c r="I45" t="str">
        <f t="shared" si="6"/>
        <v>Performance</v>
      </c>
      <c r="J45" t="str">
        <f t="shared" si="7"/>
        <v>Mental Demand</v>
      </c>
      <c r="K45" t="str">
        <f t="shared" si="8"/>
        <v>Effort</v>
      </c>
      <c r="L45" t="str">
        <f t="shared" si="9"/>
        <v>Mental Demand</v>
      </c>
      <c r="M45" t="str">
        <f t="shared" si="10"/>
        <v>Temporal Demand</v>
      </c>
      <c r="N45" t="str">
        <f t="shared" si="11"/>
        <v>Effort</v>
      </c>
      <c r="O45" t="str">
        <f t="shared" si="12"/>
        <v>Mental Demand</v>
      </c>
      <c r="P45" t="str">
        <f t="shared" si="13"/>
        <v>Effort</v>
      </c>
      <c r="Q45" t="str">
        <f t="shared" si="14"/>
        <v>Mental Demand</v>
      </c>
      <c r="R45">
        <f t="shared" si="15"/>
        <v>4</v>
      </c>
      <c r="S45">
        <f t="shared" si="16"/>
        <v>0</v>
      </c>
      <c r="T45">
        <f t="shared" si="17"/>
        <v>3</v>
      </c>
      <c r="U45">
        <f t="shared" si="18"/>
        <v>1</v>
      </c>
      <c r="V45">
        <f t="shared" si="19"/>
        <v>5</v>
      </c>
      <c r="W45">
        <f t="shared" si="20"/>
        <v>2</v>
      </c>
      <c r="X45">
        <f t="shared" si="21"/>
        <v>15</v>
      </c>
    </row>
    <row r="46" spans="1:24" x14ac:dyDescent="0.25">
      <c r="A46" s="1">
        <v>15</v>
      </c>
      <c r="B46" s="1" t="s">
        <v>24</v>
      </c>
      <c r="C46" t="str">
        <f t="shared" si="0"/>
        <v>Performance</v>
      </c>
      <c r="D46" t="str">
        <f t="shared" si="1"/>
        <v>Temporal Demand</v>
      </c>
      <c r="E46" t="str">
        <f t="shared" si="2"/>
        <v>Temporal Demand</v>
      </c>
      <c r="F46" t="str">
        <f t="shared" si="3"/>
        <v>Physical Demand</v>
      </c>
      <c r="G46" t="str">
        <f t="shared" si="4"/>
        <v>Performance</v>
      </c>
      <c r="H46" t="str">
        <f t="shared" si="5"/>
        <v>Temporal Demand</v>
      </c>
      <c r="I46" t="str">
        <f t="shared" si="6"/>
        <v>Performance</v>
      </c>
      <c r="J46" t="str">
        <f t="shared" si="7"/>
        <v>Temporal Demand</v>
      </c>
      <c r="K46" t="str">
        <f t="shared" si="8"/>
        <v>Effort</v>
      </c>
      <c r="L46" t="str">
        <f t="shared" si="9"/>
        <v>Performance</v>
      </c>
      <c r="M46" t="str">
        <f t="shared" si="10"/>
        <v>Temporal Demand</v>
      </c>
      <c r="N46" t="str">
        <f t="shared" si="11"/>
        <v>Mental Demand</v>
      </c>
      <c r="O46" t="str">
        <f t="shared" si="12"/>
        <v>Physical Demand</v>
      </c>
      <c r="P46" t="str">
        <f t="shared" si="13"/>
        <v>Effort</v>
      </c>
      <c r="Q46" t="str">
        <f t="shared" si="14"/>
        <v>Mental Demand</v>
      </c>
      <c r="R46">
        <f t="shared" si="15"/>
        <v>2</v>
      </c>
      <c r="S46">
        <f t="shared" si="16"/>
        <v>2</v>
      </c>
      <c r="T46">
        <f t="shared" si="17"/>
        <v>5</v>
      </c>
      <c r="U46">
        <f t="shared" si="18"/>
        <v>4</v>
      </c>
      <c r="V46">
        <f t="shared" si="19"/>
        <v>2</v>
      </c>
      <c r="W46">
        <f t="shared" si="20"/>
        <v>0</v>
      </c>
      <c r="X46">
        <f t="shared" si="21"/>
        <v>15</v>
      </c>
    </row>
    <row r="47" spans="1:24" x14ac:dyDescent="0.25">
      <c r="A47" s="1">
        <v>16</v>
      </c>
      <c r="B47" s="1" t="s">
        <v>24</v>
      </c>
      <c r="C47" t="str">
        <f t="shared" si="0"/>
        <v>Performance</v>
      </c>
      <c r="D47" t="str">
        <f t="shared" si="1"/>
        <v>Temporal Demand</v>
      </c>
      <c r="E47" t="str">
        <f t="shared" si="2"/>
        <v>Temporal Demand</v>
      </c>
      <c r="F47" t="str">
        <f t="shared" si="3"/>
        <v>Physical Demand</v>
      </c>
      <c r="G47" t="str">
        <f t="shared" si="4"/>
        <v>Frustration</v>
      </c>
      <c r="H47" t="str">
        <f t="shared" si="5"/>
        <v>Temporal Demand</v>
      </c>
      <c r="I47" t="str">
        <f t="shared" si="6"/>
        <v>Physical Demand</v>
      </c>
      <c r="J47" t="str">
        <f t="shared" si="7"/>
        <v>Temporal Demand</v>
      </c>
      <c r="K47" t="str">
        <f t="shared" si="8"/>
        <v>Frustration</v>
      </c>
      <c r="L47" t="str">
        <f t="shared" si="9"/>
        <v>Mental Demand</v>
      </c>
      <c r="M47" t="str">
        <f t="shared" si="10"/>
        <v>Temporal Demand</v>
      </c>
      <c r="N47" t="str">
        <f t="shared" si="11"/>
        <v>Mental Demand</v>
      </c>
      <c r="O47" t="str">
        <f t="shared" si="12"/>
        <v>Physical Demand</v>
      </c>
      <c r="P47" t="str">
        <f t="shared" si="13"/>
        <v>Physical Demand</v>
      </c>
      <c r="Q47" t="str">
        <f t="shared" si="14"/>
        <v>Frustration</v>
      </c>
      <c r="R47">
        <f t="shared" si="15"/>
        <v>2</v>
      </c>
      <c r="S47">
        <f t="shared" si="16"/>
        <v>4</v>
      </c>
      <c r="T47">
        <f t="shared" si="17"/>
        <v>5</v>
      </c>
      <c r="U47">
        <f t="shared" si="18"/>
        <v>1</v>
      </c>
      <c r="V47">
        <f t="shared" si="19"/>
        <v>0</v>
      </c>
      <c r="W47">
        <f t="shared" si="20"/>
        <v>3</v>
      </c>
      <c r="X47">
        <f t="shared" si="21"/>
        <v>15</v>
      </c>
    </row>
    <row r="48" spans="1:24" x14ac:dyDescent="0.25">
      <c r="A48" s="1">
        <v>17</v>
      </c>
      <c r="B48" s="1" t="s">
        <v>24</v>
      </c>
      <c r="C48" t="str">
        <f t="shared" si="0"/>
        <v>Performance</v>
      </c>
      <c r="D48" t="str">
        <f t="shared" si="1"/>
        <v>Temporal Demand</v>
      </c>
      <c r="E48" t="str">
        <f t="shared" si="2"/>
        <v>Temporal Demand</v>
      </c>
      <c r="F48" t="str">
        <f t="shared" si="3"/>
        <v>Frustration</v>
      </c>
      <c r="G48" t="str">
        <f t="shared" si="4"/>
        <v>Performance</v>
      </c>
      <c r="H48" t="str">
        <f t="shared" si="5"/>
        <v>Temporal Demand</v>
      </c>
      <c r="I48" t="str">
        <f t="shared" si="6"/>
        <v>Performance</v>
      </c>
      <c r="J48" t="str">
        <f t="shared" si="7"/>
        <v>Temporal Demand</v>
      </c>
      <c r="K48" t="str">
        <f t="shared" si="8"/>
        <v>Effort</v>
      </c>
      <c r="L48" t="str">
        <f t="shared" si="9"/>
        <v>Performance</v>
      </c>
      <c r="M48" t="str">
        <f t="shared" si="10"/>
        <v>Temporal Demand</v>
      </c>
      <c r="N48" t="str">
        <f t="shared" si="11"/>
        <v>Effort</v>
      </c>
      <c r="O48" t="str">
        <f t="shared" si="12"/>
        <v>Mental Demand</v>
      </c>
      <c r="P48" t="str">
        <f t="shared" si="13"/>
        <v>Effort</v>
      </c>
      <c r="Q48" t="str">
        <f t="shared" si="14"/>
        <v>Mental Demand</v>
      </c>
      <c r="R48">
        <f t="shared" si="15"/>
        <v>2</v>
      </c>
      <c r="S48">
        <f t="shared" si="16"/>
        <v>0</v>
      </c>
      <c r="T48">
        <f t="shared" si="17"/>
        <v>5</v>
      </c>
      <c r="U48">
        <f t="shared" si="18"/>
        <v>4</v>
      </c>
      <c r="V48">
        <f t="shared" si="19"/>
        <v>3</v>
      </c>
      <c r="W48">
        <f t="shared" si="20"/>
        <v>1</v>
      </c>
      <c r="X48">
        <f t="shared" si="21"/>
        <v>15</v>
      </c>
    </row>
    <row r="49" spans="1:24" x14ac:dyDescent="0.25">
      <c r="A49" s="1">
        <v>18</v>
      </c>
      <c r="B49" s="1" t="s">
        <v>24</v>
      </c>
      <c r="C49" t="str">
        <f t="shared" si="0"/>
        <v>Effort</v>
      </c>
      <c r="D49" t="str">
        <f t="shared" si="1"/>
        <v>Temporal Demand</v>
      </c>
      <c r="E49" t="str">
        <f t="shared" si="2"/>
        <v>Temporal Demand</v>
      </c>
      <c r="F49" t="str">
        <f t="shared" si="3"/>
        <v>Physical Demand</v>
      </c>
      <c r="G49" t="str">
        <f t="shared" si="4"/>
        <v>Performance</v>
      </c>
      <c r="H49" t="str">
        <f t="shared" si="5"/>
        <v>Temporal Demand</v>
      </c>
      <c r="I49" t="str">
        <f t="shared" si="6"/>
        <v>Physical Demand</v>
      </c>
      <c r="J49" t="str">
        <f t="shared" si="7"/>
        <v>Temporal Demand</v>
      </c>
      <c r="K49" t="str">
        <f t="shared" si="8"/>
        <v>Effort</v>
      </c>
      <c r="L49" t="str">
        <f t="shared" si="9"/>
        <v>Performance</v>
      </c>
      <c r="M49" t="str">
        <f t="shared" si="10"/>
        <v>Temporal Demand</v>
      </c>
      <c r="N49" t="str">
        <f t="shared" si="11"/>
        <v>Effort</v>
      </c>
      <c r="O49" t="str">
        <f t="shared" si="12"/>
        <v>Physical Demand</v>
      </c>
      <c r="P49" t="str">
        <f t="shared" si="13"/>
        <v>Physical Demand</v>
      </c>
      <c r="Q49" t="str">
        <f t="shared" si="14"/>
        <v>Mental Demand</v>
      </c>
      <c r="R49">
        <f t="shared" si="15"/>
        <v>1</v>
      </c>
      <c r="S49">
        <f t="shared" si="16"/>
        <v>4</v>
      </c>
      <c r="T49">
        <f t="shared" si="17"/>
        <v>5</v>
      </c>
      <c r="U49">
        <f t="shared" si="18"/>
        <v>2</v>
      </c>
      <c r="V49">
        <f t="shared" si="19"/>
        <v>3</v>
      </c>
      <c r="W49">
        <f t="shared" si="20"/>
        <v>0</v>
      </c>
      <c r="X49">
        <f t="shared" si="21"/>
        <v>15</v>
      </c>
    </row>
    <row r="50" spans="1:24" x14ac:dyDescent="0.25">
      <c r="A50" s="1">
        <v>19</v>
      </c>
      <c r="B50" s="1" t="s">
        <v>24</v>
      </c>
      <c r="C50" t="str">
        <f t="shared" si="0"/>
        <v>Performance</v>
      </c>
      <c r="D50" t="str">
        <f t="shared" si="1"/>
        <v>Temporal Demand</v>
      </c>
      <c r="E50" t="str">
        <f t="shared" si="2"/>
        <v>Effort</v>
      </c>
      <c r="F50" t="str">
        <f t="shared" si="3"/>
        <v>Physical Demand</v>
      </c>
      <c r="G50" t="str">
        <f t="shared" si="4"/>
        <v>Performance</v>
      </c>
      <c r="H50" t="str">
        <f t="shared" si="5"/>
        <v>Temporal Demand</v>
      </c>
      <c r="I50" t="str">
        <f t="shared" si="6"/>
        <v>Performance</v>
      </c>
      <c r="J50" t="str">
        <f t="shared" si="7"/>
        <v>Temporal Demand</v>
      </c>
      <c r="K50" t="str">
        <f t="shared" si="8"/>
        <v>Effort</v>
      </c>
      <c r="L50" t="str">
        <f t="shared" si="9"/>
        <v>Performance</v>
      </c>
      <c r="M50" t="str">
        <f t="shared" si="10"/>
        <v>Performance</v>
      </c>
      <c r="N50" t="str">
        <f t="shared" si="11"/>
        <v>Mental Demand</v>
      </c>
      <c r="O50" t="str">
        <f t="shared" si="12"/>
        <v>Mental Demand</v>
      </c>
      <c r="P50" t="str">
        <f t="shared" si="13"/>
        <v>Effort</v>
      </c>
      <c r="Q50" t="str">
        <f t="shared" si="14"/>
        <v>Mental Demand</v>
      </c>
      <c r="R50">
        <f t="shared" si="15"/>
        <v>3</v>
      </c>
      <c r="S50">
        <f t="shared" si="16"/>
        <v>1</v>
      </c>
      <c r="T50">
        <f t="shared" si="17"/>
        <v>3</v>
      </c>
      <c r="U50">
        <f t="shared" si="18"/>
        <v>5</v>
      </c>
      <c r="V50">
        <f t="shared" si="19"/>
        <v>3</v>
      </c>
      <c r="W50">
        <f t="shared" si="20"/>
        <v>0</v>
      </c>
      <c r="X50">
        <f t="shared" si="21"/>
        <v>15</v>
      </c>
    </row>
    <row r="51" spans="1:24" x14ac:dyDescent="0.25">
      <c r="A51" s="1">
        <v>20</v>
      </c>
      <c r="B51" s="1" t="s">
        <v>24</v>
      </c>
      <c r="C51" t="str">
        <f t="shared" si="0"/>
        <v>Performance</v>
      </c>
      <c r="D51" t="str">
        <f t="shared" si="1"/>
        <v>Temporal Demand</v>
      </c>
      <c r="E51" t="str">
        <f t="shared" si="2"/>
        <v>Temporal Demand</v>
      </c>
      <c r="F51" t="str">
        <f t="shared" si="3"/>
        <v>Physical Demand</v>
      </c>
      <c r="G51" t="str">
        <f t="shared" si="4"/>
        <v>Performance</v>
      </c>
      <c r="H51" t="str">
        <f t="shared" si="5"/>
        <v>Temporal Demand</v>
      </c>
      <c r="I51" t="str">
        <f t="shared" si="6"/>
        <v>Performance</v>
      </c>
      <c r="J51" t="str">
        <f t="shared" si="7"/>
        <v>Temporal Demand</v>
      </c>
      <c r="K51" t="str">
        <f t="shared" si="8"/>
        <v>Effort</v>
      </c>
      <c r="L51" t="str">
        <f t="shared" si="9"/>
        <v>Performance</v>
      </c>
      <c r="M51" t="str">
        <f t="shared" si="10"/>
        <v>Performance</v>
      </c>
      <c r="N51" t="str">
        <f t="shared" si="11"/>
        <v>Mental Demand</v>
      </c>
      <c r="O51" t="str">
        <f t="shared" si="12"/>
        <v>Mental Demand</v>
      </c>
      <c r="P51" t="str">
        <f t="shared" si="13"/>
        <v>Effort</v>
      </c>
      <c r="Q51" t="str">
        <f t="shared" si="14"/>
        <v>Mental Demand</v>
      </c>
      <c r="R51">
        <f t="shared" si="15"/>
        <v>3</v>
      </c>
      <c r="S51">
        <f t="shared" si="16"/>
        <v>1</v>
      </c>
      <c r="T51">
        <f t="shared" si="17"/>
        <v>4</v>
      </c>
      <c r="U51">
        <f t="shared" si="18"/>
        <v>5</v>
      </c>
      <c r="V51">
        <f t="shared" si="19"/>
        <v>2</v>
      </c>
      <c r="W51">
        <f t="shared" si="20"/>
        <v>0</v>
      </c>
      <c r="X51">
        <f t="shared" si="21"/>
        <v>15</v>
      </c>
    </row>
    <row r="52" spans="1:24" x14ac:dyDescent="0.25">
      <c r="A52" s="1">
        <v>21</v>
      </c>
      <c r="B52" s="1" t="s">
        <v>24</v>
      </c>
      <c r="C52" t="str">
        <f t="shared" si="0"/>
        <v>Effort</v>
      </c>
      <c r="D52" t="str">
        <f t="shared" si="1"/>
        <v>Temporal Demand</v>
      </c>
      <c r="E52" t="str">
        <f t="shared" si="2"/>
        <v>Effort</v>
      </c>
      <c r="F52" t="str">
        <f t="shared" si="3"/>
        <v>Physical Demand</v>
      </c>
      <c r="G52" t="str">
        <f t="shared" si="4"/>
        <v>Performance</v>
      </c>
      <c r="H52" t="str">
        <f t="shared" si="5"/>
        <v>Temporal Demand</v>
      </c>
      <c r="I52" t="str">
        <f t="shared" si="6"/>
        <v>Performance</v>
      </c>
      <c r="J52" t="str">
        <f t="shared" si="7"/>
        <v>Mental Demand</v>
      </c>
      <c r="K52" t="str">
        <f t="shared" si="8"/>
        <v>Effort</v>
      </c>
      <c r="L52" t="str">
        <f t="shared" si="9"/>
        <v>Mental Demand</v>
      </c>
      <c r="M52" t="str">
        <f t="shared" si="10"/>
        <v>Performance</v>
      </c>
      <c r="N52" t="str">
        <f t="shared" si="11"/>
        <v>Effort</v>
      </c>
      <c r="O52" t="str">
        <f t="shared" si="12"/>
        <v>Mental Demand</v>
      </c>
      <c r="P52" t="str">
        <f t="shared" si="13"/>
        <v>Effort</v>
      </c>
      <c r="Q52" t="str">
        <f t="shared" si="14"/>
        <v>Mental Demand</v>
      </c>
      <c r="R52">
        <f t="shared" si="15"/>
        <v>4</v>
      </c>
      <c r="S52">
        <f t="shared" si="16"/>
        <v>1</v>
      </c>
      <c r="T52">
        <f t="shared" si="17"/>
        <v>2</v>
      </c>
      <c r="U52">
        <f t="shared" si="18"/>
        <v>3</v>
      </c>
      <c r="V52">
        <f t="shared" si="19"/>
        <v>5</v>
      </c>
      <c r="W52">
        <f t="shared" si="20"/>
        <v>0</v>
      </c>
      <c r="X52">
        <f t="shared" si="21"/>
        <v>15</v>
      </c>
    </row>
    <row r="53" spans="1:24" x14ac:dyDescent="0.25">
      <c r="A53" s="1">
        <v>23</v>
      </c>
      <c r="B53" s="1" t="s">
        <v>24</v>
      </c>
      <c r="C53" t="str">
        <f t="shared" si="0"/>
        <v>Performance</v>
      </c>
      <c r="D53" t="str">
        <f t="shared" si="1"/>
        <v>Temporal Demand</v>
      </c>
      <c r="E53" t="str">
        <f t="shared" si="2"/>
        <v>Effort</v>
      </c>
      <c r="F53" t="str">
        <f t="shared" si="3"/>
        <v>Physical Demand</v>
      </c>
      <c r="G53" t="str">
        <f t="shared" si="4"/>
        <v>Performance</v>
      </c>
      <c r="H53" t="str">
        <f t="shared" si="5"/>
        <v>Temporal Demand</v>
      </c>
      <c r="I53" t="str">
        <f t="shared" si="6"/>
        <v>Performance</v>
      </c>
      <c r="J53" t="str">
        <f t="shared" si="7"/>
        <v>Mental Demand</v>
      </c>
      <c r="K53" t="str">
        <f t="shared" si="8"/>
        <v>Frustration</v>
      </c>
      <c r="L53" t="str">
        <f t="shared" si="9"/>
        <v>Mental Demand</v>
      </c>
      <c r="M53" t="str">
        <f t="shared" si="10"/>
        <v>Performance</v>
      </c>
      <c r="N53" t="str">
        <f t="shared" si="11"/>
        <v>Effort</v>
      </c>
      <c r="O53" t="str">
        <f t="shared" si="12"/>
        <v>Mental Demand</v>
      </c>
      <c r="P53" t="str">
        <f t="shared" si="13"/>
        <v>Effort</v>
      </c>
      <c r="Q53" t="str">
        <f t="shared" si="14"/>
        <v>Mental Demand</v>
      </c>
      <c r="R53">
        <f t="shared" si="15"/>
        <v>4</v>
      </c>
      <c r="S53">
        <f t="shared" si="16"/>
        <v>1</v>
      </c>
      <c r="T53">
        <f t="shared" si="17"/>
        <v>2</v>
      </c>
      <c r="U53">
        <f t="shared" si="18"/>
        <v>4</v>
      </c>
      <c r="V53">
        <f t="shared" si="19"/>
        <v>3</v>
      </c>
      <c r="W53">
        <f t="shared" si="20"/>
        <v>1</v>
      </c>
      <c r="X53">
        <f t="shared" si="21"/>
        <v>15</v>
      </c>
    </row>
    <row r="54" spans="1:24" x14ac:dyDescent="0.25">
      <c r="A54" s="1">
        <v>24</v>
      </c>
      <c r="B54" s="1" t="s">
        <v>24</v>
      </c>
      <c r="C54" t="str">
        <f t="shared" si="0"/>
        <v>Performance</v>
      </c>
      <c r="D54" t="str">
        <f t="shared" si="1"/>
        <v>Temporal Demand</v>
      </c>
      <c r="E54" t="str">
        <f t="shared" si="2"/>
        <v>Effort</v>
      </c>
      <c r="F54" t="str">
        <f t="shared" si="3"/>
        <v>Physical Demand</v>
      </c>
      <c r="G54" t="str">
        <f t="shared" si="4"/>
        <v>Performance</v>
      </c>
      <c r="H54" t="str">
        <f t="shared" si="5"/>
        <v>Temporal Demand</v>
      </c>
      <c r="I54" t="str">
        <f t="shared" si="6"/>
        <v>Performance</v>
      </c>
      <c r="J54" t="str">
        <f t="shared" si="7"/>
        <v>Mental Demand</v>
      </c>
      <c r="K54" t="str">
        <f t="shared" si="8"/>
        <v>Effort</v>
      </c>
      <c r="L54" t="str">
        <f t="shared" si="9"/>
        <v>Mental Demand</v>
      </c>
      <c r="M54" t="str">
        <f t="shared" si="10"/>
        <v>Performance</v>
      </c>
      <c r="N54" t="str">
        <f t="shared" si="11"/>
        <v>Mental Demand</v>
      </c>
      <c r="O54" t="str">
        <f t="shared" si="12"/>
        <v>Mental Demand</v>
      </c>
      <c r="P54" t="str">
        <f t="shared" si="13"/>
        <v>Effort</v>
      </c>
      <c r="Q54" t="str">
        <f t="shared" si="14"/>
        <v>Mental Demand</v>
      </c>
      <c r="R54">
        <f t="shared" si="15"/>
        <v>5</v>
      </c>
      <c r="S54">
        <f t="shared" si="16"/>
        <v>1</v>
      </c>
      <c r="T54">
        <f t="shared" si="17"/>
        <v>2</v>
      </c>
      <c r="U54">
        <f t="shared" si="18"/>
        <v>4</v>
      </c>
      <c r="V54">
        <f t="shared" si="19"/>
        <v>3</v>
      </c>
      <c r="W54">
        <f t="shared" si="20"/>
        <v>0</v>
      </c>
      <c r="X54">
        <f t="shared" si="21"/>
        <v>15</v>
      </c>
    </row>
    <row r="55" spans="1:24" x14ac:dyDescent="0.25">
      <c r="A55" s="1">
        <v>25</v>
      </c>
      <c r="B55" s="1" t="s">
        <v>24</v>
      </c>
      <c r="C55" t="str">
        <f t="shared" si="0"/>
        <v>Performance</v>
      </c>
      <c r="D55" t="str">
        <f t="shared" si="1"/>
        <v>Temporal Demand</v>
      </c>
      <c r="E55" t="str">
        <f t="shared" si="2"/>
        <v>Effort</v>
      </c>
      <c r="F55" t="str">
        <f t="shared" si="3"/>
        <v>Physical Demand</v>
      </c>
      <c r="G55" t="str">
        <f t="shared" si="4"/>
        <v>Performance</v>
      </c>
      <c r="H55" t="str">
        <f t="shared" si="5"/>
        <v>Temporal Demand</v>
      </c>
      <c r="I55" t="str">
        <f t="shared" si="6"/>
        <v>Physical Demand</v>
      </c>
      <c r="J55" t="str">
        <f t="shared" si="7"/>
        <v>Mental Demand</v>
      </c>
      <c r="K55" t="str">
        <f t="shared" si="8"/>
        <v>Effort</v>
      </c>
      <c r="L55" t="str">
        <f t="shared" si="9"/>
        <v>Mental Demand</v>
      </c>
      <c r="M55" t="str">
        <f t="shared" si="10"/>
        <v>Temporal Demand</v>
      </c>
      <c r="N55" t="str">
        <f t="shared" si="11"/>
        <v>Mental Demand</v>
      </c>
      <c r="O55" t="str">
        <f t="shared" si="12"/>
        <v>Mental Demand</v>
      </c>
      <c r="P55" t="str">
        <f t="shared" si="13"/>
        <v>Effort</v>
      </c>
      <c r="Q55" t="str">
        <f t="shared" si="14"/>
        <v>Mental Demand</v>
      </c>
      <c r="R55">
        <f t="shared" si="15"/>
        <v>5</v>
      </c>
      <c r="S55">
        <f t="shared" si="16"/>
        <v>2</v>
      </c>
      <c r="T55">
        <f t="shared" si="17"/>
        <v>3</v>
      </c>
      <c r="U55">
        <f t="shared" si="18"/>
        <v>2</v>
      </c>
      <c r="V55">
        <f t="shared" si="19"/>
        <v>3</v>
      </c>
      <c r="W55">
        <f t="shared" si="20"/>
        <v>0</v>
      </c>
      <c r="X55">
        <f t="shared" si="21"/>
        <v>15</v>
      </c>
    </row>
    <row r="56" spans="1:24" x14ac:dyDescent="0.25">
      <c r="A56" s="1">
        <v>26</v>
      </c>
      <c r="B56" s="1" t="s">
        <v>24</v>
      </c>
      <c r="C56" t="str">
        <f t="shared" si="0"/>
        <v>Performance</v>
      </c>
      <c r="D56" t="str">
        <f t="shared" si="1"/>
        <v>Temporal Demand</v>
      </c>
      <c r="E56" t="str">
        <f t="shared" si="2"/>
        <v>Temporal Demand</v>
      </c>
      <c r="F56" t="str">
        <f t="shared" si="3"/>
        <v>Frustration</v>
      </c>
      <c r="G56" t="str">
        <f t="shared" si="4"/>
        <v>Frustration</v>
      </c>
      <c r="H56" t="str">
        <f t="shared" si="5"/>
        <v>Temporal Demand</v>
      </c>
      <c r="I56" t="str">
        <f t="shared" si="6"/>
        <v>Performance</v>
      </c>
      <c r="J56" t="str">
        <f t="shared" si="7"/>
        <v>Temporal Demand</v>
      </c>
      <c r="K56" t="str">
        <f t="shared" si="8"/>
        <v>Frustration</v>
      </c>
      <c r="L56" t="str">
        <f t="shared" si="9"/>
        <v>Mental Demand</v>
      </c>
      <c r="M56" t="str">
        <f t="shared" si="10"/>
        <v>Temporal Demand</v>
      </c>
      <c r="N56" t="str">
        <f t="shared" si="11"/>
        <v>Effort</v>
      </c>
      <c r="O56" t="str">
        <f t="shared" si="12"/>
        <v>Mental Demand</v>
      </c>
      <c r="P56" t="str">
        <f t="shared" si="13"/>
        <v>Effort</v>
      </c>
      <c r="Q56" t="str">
        <f t="shared" si="14"/>
        <v>Frustration</v>
      </c>
      <c r="R56">
        <f t="shared" si="15"/>
        <v>2</v>
      </c>
      <c r="S56">
        <f t="shared" si="16"/>
        <v>0</v>
      </c>
      <c r="T56">
        <f t="shared" si="17"/>
        <v>5</v>
      </c>
      <c r="U56">
        <f t="shared" si="18"/>
        <v>2</v>
      </c>
      <c r="V56">
        <f t="shared" si="19"/>
        <v>2</v>
      </c>
      <c r="W56">
        <f t="shared" si="20"/>
        <v>4</v>
      </c>
      <c r="X56">
        <f t="shared" si="21"/>
        <v>15</v>
      </c>
    </row>
    <row r="57" spans="1:24" x14ac:dyDescent="0.25">
      <c r="A57" s="1">
        <v>27</v>
      </c>
      <c r="B57" s="1" t="s">
        <v>24</v>
      </c>
      <c r="C57" t="str">
        <f t="shared" si="0"/>
        <v>Effort</v>
      </c>
      <c r="D57" t="str">
        <f t="shared" si="1"/>
        <v>Temporal Demand</v>
      </c>
      <c r="E57" t="str">
        <f t="shared" si="2"/>
        <v>Effort</v>
      </c>
      <c r="F57" t="str">
        <f t="shared" si="3"/>
        <v>Physical Demand</v>
      </c>
      <c r="G57" t="str">
        <f t="shared" si="4"/>
        <v>Performance</v>
      </c>
      <c r="H57" t="str">
        <f t="shared" si="5"/>
        <v>Physical Demand</v>
      </c>
      <c r="I57" t="str">
        <f t="shared" si="6"/>
        <v>Physical Demand</v>
      </c>
      <c r="J57" t="str">
        <f t="shared" si="7"/>
        <v>Mental Demand</v>
      </c>
      <c r="K57" t="str">
        <f t="shared" si="8"/>
        <v>Effort</v>
      </c>
      <c r="L57" t="str">
        <f t="shared" si="9"/>
        <v>Mental Demand</v>
      </c>
      <c r="M57" t="str">
        <f t="shared" si="10"/>
        <v>Performance</v>
      </c>
      <c r="N57" t="str">
        <f t="shared" si="11"/>
        <v>Mental Demand</v>
      </c>
      <c r="O57" t="str">
        <f t="shared" si="12"/>
        <v>Mental Demand</v>
      </c>
      <c r="P57" t="str">
        <f t="shared" si="13"/>
        <v>Physical Demand</v>
      </c>
      <c r="Q57" t="str">
        <f t="shared" si="14"/>
        <v>Mental Demand</v>
      </c>
      <c r="R57">
        <f t="shared" si="15"/>
        <v>5</v>
      </c>
      <c r="S57">
        <f t="shared" si="16"/>
        <v>4</v>
      </c>
      <c r="T57">
        <f t="shared" si="17"/>
        <v>1</v>
      </c>
      <c r="U57">
        <f t="shared" si="18"/>
        <v>2</v>
      </c>
      <c r="V57">
        <f t="shared" si="19"/>
        <v>3</v>
      </c>
      <c r="W57">
        <f t="shared" si="20"/>
        <v>0</v>
      </c>
      <c r="X57">
        <f t="shared" si="21"/>
        <v>15</v>
      </c>
    </row>
    <row r="58" spans="1:24" x14ac:dyDescent="0.25">
      <c r="A58" s="1">
        <v>22</v>
      </c>
      <c r="B58" s="1" t="s">
        <v>24</v>
      </c>
      <c r="C58" t="str">
        <f t="shared" si="0"/>
        <v>Performance</v>
      </c>
      <c r="D58" t="str">
        <f t="shared" si="1"/>
        <v>Temporal Demand</v>
      </c>
      <c r="E58" t="str">
        <f t="shared" si="2"/>
        <v>Effort</v>
      </c>
      <c r="F58" t="str">
        <f t="shared" si="3"/>
        <v>Physical Demand</v>
      </c>
      <c r="G58" t="str">
        <f t="shared" si="4"/>
        <v>Performance</v>
      </c>
      <c r="H58" t="str">
        <f t="shared" si="5"/>
        <v>Temporal Demand</v>
      </c>
      <c r="I58" t="str">
        <f t="shared" si="6"/>
        <v>Performance</v>
      </c>
      <c r="J58" t="str">
        <f t="shared" si="7"/>
        <v>Mental Demand</v>
      </c>
      <c r="K58" t="str">
        <f t="shared" si="8"/>
        <v>Effort</v>
      </c>
      <c r="L58" t="str">
        <f t="shared" si="9"/>
        <v>Performance</v>
      </c>
      <c r="M58" t="str">
        <f t="shared" si="10"/>
        <v>Performance</v>
      </c>
      <c r="N58" t="str">
        <f t="shared" si="11"/>
        <v>Effort</v>
      </c>
      <c r="O58" t="str">
        <f t="shared" si="12"/>
        <v>Mental Demand</v>
      </c>
      <c r="P58" t="str">
        <f t="shared" si="13"/>
        <v>Effort</v>
      </c>
      <c r="Q58" t="str">
        <f t="shared" si="14"/>
        <v>Mental Demand</v>
      </c>
      <c r="R58">
        <f t="shared" si="15"/>
        <v>3</v>
      </c>
      <c r="S58">
        <f t="shared" si="16"/>
        <v>1</v>
      </c>
      <c r="T58">
        <f t="shared" si="17"/>
        <v>2</v>
      </c>
      <c r="U58">
        <f t="shared" si="18"/>
        <v>5</v>
      </c>
      <c r="V58">
        <f t="shared" si="19"/>
        <v>4</v>
      </c>
      <c r="W58">
        <f t="shared" si="20"/>
        <v>0</v>
      </c>
      <c r="X58">
        <f t="shared" si="21"/>
        <v>15</v>
      </c>
    </row>
    <row r="59" spans="1:24" x14ac:dyDescent="0.25">
      <c r="A59" s="1">
        <v>28</v>
      </c>
      <c r="B59" s="1" t="s">
        <v>24</v>
      </c>
      <c r="C59" t="str">
        <f t="shared" si="0"/>
        <v>Performance</v>
      </c>
      <c r="D59" t="str">
        <f t="shared" si="1"/>
        <v>Frustration</v>
      </c>
      <c r="E59" t="str">
        <f t="shared" si="2"/>
        <v>Temporal Demand</v>
      </c>
      <c r="F59" t="str">
        <f t="shared" si="3"/>
        <v>Frustration</v>
      </c>
      <c r="G59" t="str">
        <f t="shared" si="4"/>
        <v>Performance</v>
      </c>
      <c r="H59" t="str">
        <f t="shared" si="5"/>
        <v>Temporal Demand</v>
      </c>
      <c r="I59" t="str">
        <f t="shared" si="6"/>
        <v>Performance</v>
      </c>
      <c r="J59" t="str">
        <f t="shared" si="7"/>
        <v>Mental Demand</v>
      </c>
      <c r="K59" t="str">
        <f t="shared" si="8"/>
        <v>Frustration</v>
      </c>
      <c r="L59" t="str">
        <f t="shared" si="9"/>
        <v>Performance</v>
      </c>
      <c r="M59" t="str">
        <f t="shared" si="10"/>
        <v>Performance</v>
      </c>
      <c r="N59" t="str">
        <f t="shared" si="11"/>
        <v>Mental Demand</v>
      </c>
      <c r="O59" t="str">
        <f t="shared" si="12"/>
        <v>Mental Demand</v>
      </c>
      <c r="P59" t="str">
        <f t="shared" si="13"/>
        <v>Effort</v>
      </c>
      <c r="Q59" t="str">
        <f t="shared" si="14"/>
        <v>Mental Demand</v>
      </c>
      <c r="R59">
        <f t="shared" si="15"/>
        <v>4</v>
      </c>
      <c r="S59">
        <f t="shared" si="16"/>
        <v>0</v>
      </c>
      <c r="T59">
        <f t="shared" si="17"/>
        <v>2</v>
      </c>
      <c r="U59">
        <f t="shared" si="18"/>
        <v>5</v>
      </c>
      <c r="V59">
        <f t="shared" si="19"/>
        <v>1</v>
      </c>
      <c r="W59">
        <f t="shared" si="20"/>
        <v>3</v>
      </c>
      <c r="X59">
        <f t="shared" si="21"/>
        <v>15</v>
      </c>
    </row>
    <row r="60" spans="1:24" x14ac:dyDescent="0.25">
      <c r="A60" s="1">
        <v>29</v>
      </c>
      <c r="B60" s="1" t="s">
        <v>24</v>
      </c>
      <c r="C60" t="str">
        <f t="shared" si="0"/>
        <v>Performance</v>
      </c>
      <c r="D60" t="str">
        <f t="shared" si="1"/>
        <v>Temporal Demand</v>
      </c>
      <c r="E60" t="str">
        <f t="shared" si="2"/>
        <v>Temporal Demand</v>
      </c>
      <c r="F60" t="str">
        <f t="shared" si="3"/>
        <v>Frustration</v>
      </c>
      <c r="G60" t="str">
        <f t="shared" si="4"/>
        <v>Performance</v>
      </c>
      <c r="H60" t="str">
        <f t="shared" si="5"/>
        <v>Temporal Demand</v>
      </c>
      <c r="I60" t="str">
        <f t="shared" si="6"/>
        <v>Performance</v>
      </c>
      <c r="J60" t="str">
        <f t="shared" si="7"/>
        <v>Temporal Demand</v>
      </c>
      <c r="K60" t="str">
        <f t="shared" si="8"/>
        <v>Effort</v>
      </c>
      <c r="L60" t="str">
        <f t="shared" si="9"/>
        <v>Performance</v>
      </c>
      <c r="M60" t="str">
        <f t="shared" si="10"/>
        <v>Temporal Demand</v>
      </c>
      <c r="N60" t="str">
        <f t="shared" si="11"/>
        <v>Mental Demand</v>
      </c>
      <c r="O60" t="str">
        <f t="shared" si="12"/>
        <v>Mental Demand</v>
      </c>
      <c r="P60" t="str">
        <f t="shared" si="13"/>
        <v>Effort</v>
      </c>
      <c r="Q60" t="str">
        <f t="shared" si="14"/>
        <v>Mental Demand</v>
      </c>
      <c r="R60">
        <f t="shared" si="15"/>
        <v>3</v>
      </c>
      <c r="S60">
        <f t="shared" si="16"/>
        <v>0</v>
      </c>
      <c r="T60">
        <f t="shared" si="17"/>
        <v>5</v>
      </c>
      <c r="U60">
        <f t="shared" si="18"/>
        <v>4</v>
      </c>
      <c r="V60">
        <f t="shared" si="19"/>
        <v>2</v>
      </c>
      <c r="W60">
        <f t="shared" si="20"/>
        <v>1</v>
      </c>
      <c r="X60">
        <f t="shared" si="21"/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92C9C-0D1A-477B-BB2F-E57B9D4F62E7}">
  <dimension ref="A1:AG60"/>
  <sheetViews>
    <sheetView topLeftCell="J25" workbookViewId="0">
      <selection activeCell="R32" sqref="R32:W60"/>
    </sheetView>
  </sheetViews>
  <sheetFormatPr defaultRowHeight="12.5" x14ac:dyDescent="0.25"/>
  <cols>
    <col min="4" max="4" width="10.1796875" customWidth="1"/>
  </cols>
  <sheetData>
    <row r="1" spans="1:33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s="2"/>
      <c r="S1" s="2"/>
      <c r="T1" s="2"/>
      <c r="U1" s="2"/>
      <c r="V1" s="2"/>
      <c r="W1" s="2"/>
    </row>
    <row r="2" spans="1:33" x14ac:dyDescent="0.25">
      <c r="A2" s="1">
        <v>1</v>
      </c>
      <c r="B2" s="1" t="s">
        <v>27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  <c r="H2" s="1" t="s">
        <v>26</v>
      </c>
      <c r="I2" s="1" t="s">
        <v>25</v>
      </c>
      <c r="J2" s="1" t="s">
        <v>25</v>
      </c>
      <c r="K2" s="1" t="s">
        <v>26</v>
      </c>
      <c r="L2" s="1" t="s">
        <v>26</v>
      </c>
      <c r="M2" s="1" t="s">
        <v>26</v>
      </c>
      <c r="N2" s="1" t="s">
        <v>25</v>
      </c>
      <c r="O2" s="1" t="s">
        <v>26</v>
      </c>
      <c r="P2" s="1" t="s">
        <v>25</v>
      </c>
      <c r="Q2" s="1" t="s">
        <v>26</v>
      </c>
      <c r="AB2" s="1">
        <v>8</v>
      </c>
      <c r="AC2" s="1">
        <v>6</v>
      </c>
      <c r="AD2" s="1">
        <v>4</v>
      </c>
      <c r="AE2" s="1">
        <v>9</v>
      </c>
      <c r="AF2" s="1">
        <v>9</v>
      </c>
      <c r="AG2" s="1">
        <v>1</v>
      </c>
    </row>
    <row r="3" spans="1:33" x14ac:dyDescent="0.25">
      <c r="A3" s="1">
        <v>2</v>
      </c>
      <c r="B3" s="1" t="s">
        <v>27</v>
      </c>
      <c r="C3" s="1" t="s">
        <v>25</v>
      </c>
      <c r="D3" s="1" t="s">
        <v>25</v>
      </c>
      <c r="E3" s="1" t="s">
        <v>25</v>
      </c>
      <c r="F3" s="1" t="s">
        <v>25</v>
      </c>
      <c r="G3" s="1" t="s">
        <v>25</v>
      </c>
      <c r="H3" s="1" t="s">
        <v>26</v>
      </c>
      <c r="I3" s="1" t="s">
        <v>25</v>
      </c>
      <c r="J3" s="1" t="s">
        <v>25</v>
      </c>
      <c r="K3" s="1" t="s">
        <v>26</v>
      </c>
      <c r="L3" s="1" t="s">
        <v>25</v>
      </c>
      <c r="M3" s="1" t="s">
        <v>26</v>
      </c>
      <c r="N3" s="1" t="s">
        <v>26</v>
      </c>
      <c r="O3" s="1" t="s">
        <v>26</v>
      </c>
      <c r="P3" s="1" t="s">
        <v>26</v>
      </c>
      <c r="Q3" s="1" t="s">
        <v>26</v>
      </c>
      <c r="AB3" s="1">
        <v>2</v>
      </c>
      <c r="AC3" s="1">
        <v>2</v>
      </c>
      <c r="AD3" s="1">
        <v>4</v>
      </c>
      <c r="AE3" s="1">
        <v>9</v>
      </c>
      <c r="AF3" s="1">
        <v>2</v>
      </c>
      <c r="AG3" s="1">
        <v>1</v>
      </c>
    </row>
    <row r="4" spans="1:33" x14ac:dyDescent="0.25">
      <c r="A4" s="1">
        <v>3</v>
      </c>
      <c r="B4" s="1" t="s">
        <v>27</v>
      </c>
      <c r="C4" s="1" t="s">
        <v>25</v>
      </c>
      <c r="D4" s="1" t="s">
        <v>25</v>
      </c>
      <c r="E4" s="1" t="s">
        <v>26</v>
      </c>
      <c r="F4" s="1" t="s">
        <v>25</v>
      </c>
      <c r="G4" s="1" t="s">
        <v>26</v>
      </c>
      <c r="H4" s="1" t="s">
        <v>25</v>
      </c>
      <c r="I4" s="1" t="s">
        <v>26</v>
      </c>
      <c r="J4" s="1" t="s">
        <v>26</v>
      </c>
      <c r="K4" s="1" t="s">
        <v>26</v>
      </c>
      <c r="L4" s="1" t="s">
        <v>26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26</v>
      </c>
      <c r="AB4" s="1">
        <v>9</v>
      </c>
      <c r="AC4" s="1">
        <v>8</v>
      </c>
      <c r="AD4" s="1">
        <v>7</v>
      </c>
      <c r="AE4" s="1">
        <v>5</v>
      </c>
      <c r="AF4" s="1">
        <v>7</v>
      </c>
      <c r="AG4" s="1">
        <v>3</v>
      </c>
    </row>
    <row r="5" spans="1:33" x14ac:dyDescent="0.25">
      <c r="A5" s="1">
        <v>4</v>
      </c>
      <c r="B5" s="1" t="s">
        <v>27</v>
      </c>
      <c r="C5" s="1" t="s">
        <v>25</v>
      </c>
      <c r="D5" s="1" t="s">
        <v>25</v>
      </c>
      <c r="E5" s="1" t="s">
        <v>26</v>
      </c>
      <c r="F5" s="1" t="s">
        <v>25</v>
      </c>
      <c r="G5" s="1" t="s">
        <v>25</v>
      </c>
      <c r="H5" s="1" t="s">
        <v>26</v>
      </c>
      <c r="I5" s="1" t="s">
        <v>26</v>
      </c>
      <c r="J5" s="1" t="s">
        <v>26</v>
      </c>
      <c r="K5" s="1" t="s">
        <v>26</v>
      </c>
      <c r="L5" s="1" t="s">
        <v>26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26</v>
      </c>
      <c r="AB5" s="1">
        <v>8</v>
      </c>
      <c r="AC5" s="1">
        <v>4</v>
      </c>
      <c r="AD5" s="1">
        <v>3</v>
      </c>
      <c r="AE5" s="1">
        <v>8</v>
      </c>
      <c r="AF5" s="1">
        <v>9</v>
      </c>
      <c r="AG5" s="1">
        <v>3</v>
      </c>
    </row>
    <row r="6" spans="1:33" x14ac:dyDescent="0.25">
      <c r="A6" s="1">
        <v>5</v>
      </c>
      <c r="B6" s="1" t="s">
        <v>27</v>
      </c>
      <c r="C6" s="1" t="s">
        <v>25</v>
      </c>
      <c r="D6" s="1" t="s">
        <v>25</v>
      </c>
      <c r="E6" s="1" t="s">
        <v>26</v>
      </c>
      <c r="F6" s="1" t="s">
        <v>25</v>
      </c>
      <c r="G6" s="1" t="s">
        <v>25</v>
      </c>
      <c r="H6" s="1" t="s">
        <v>26</v>
      </c>
      <c r="I6" s="1" t="s">
        <v>25</v>
      </c>
      <c r="J6" s="1" t="s">
        <v>26</v>
      </c>
      <c r="K6" s="1" t="s">
        <v>26</v>
      </c>
      <c r="L6" s="1" t="s">
        <v>26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26</v>
      </c>
      <c r="AB6" s="1">
        <v>8</v>
      </c>
      <c r="AC6" s="1">
        <v>3</v>
      </c>
      <c r="AD6" s="1">
        <v>5</v>
      </c>
      <c r="AE6" s="1">
        <v>9</v>
      </c>
      <c r="AF6" s="1">
        <v>8</v>
      </c>
      <c r="AG6" s="1">
        <v>1</v>
      </c>
    </row>
    <row r="7" spans="1:33" x14ac:dyDescent="0.25">
      <c r="A7" s="1">
        <v>6</v>
      </c>
      <c r="B7" s="1" t="s">
        <v>27</v>
      </c>
      <c r="C7" s="1" t="s">
        <v>25</v>
      </c>
      <c r="D7" s="1" t="s">
        <v>25</v>
      </c>
      <c r="E7" s="1" t="s">
        <v>26</v>
      </c>
      <c r="F7" s="1" t="s">
        <v>25</v>
      </c>
      <c r="G7" s="1" t="s">
        <v>25</v>
      </c>
      <c r="H7" s="1" t="s">
        <v>25</v>
      </c>
      <c r="I7" s="1" t="s">
        <v>25</v>
      </c>
      <c r="J7" s="1" t="s">
        <v>26</v>
      </c>
      <c r="K7" s="1" t="s">
        <v>26</v>
      </c>
      <c r="L7" s="1" t="s">
        <v>26</v>
      </c>
      <c r="M7" s="1" t="s">
        <v>25</v>
      </c>
      <c r="N7" s="1" t="s">
        <v>26</v>
      </c>
      <c r="O7" s="1" t="s">
        <v>25</v>
      </c>
      <c r="P7" s="1" t="s">
        <v>26</v>
      </c>
      <c r="Q7" s="1" t="s">
        <v>26</v>
      </c>
      <c r="AB7" s="1">
        <v>9</v>
      </c>
      <c r="AC7" s="1">
        <v>7</v>
      </c>
      <c r="AD7" s="1">
        <v>2</v>
      </c>
      <c r="AE7" s="1">
        <v>5</v>
      </c>
      <c r="AF7" s="1">
        <v>8</v>
      </c>
      <c r="AG7" s="1">
        <v>5</v>
      </c>
    </row>
    <row r="8" spans="1:33" x14ac:dyDescent="0.25">
      <c r="A8" s="1">
        <v>7</v>
      </c>
      <c r="B8" s="1" t="s">
        <v>27</v>
      </c>
      <c r="C8" s="1" t="s">
        <v>26</v>
      </c>
      <c r="D8" s="1" t="s">
        <v>26</v>
      </c>
      <c r="E8" s="1" t="s">
        <v>26</v>
      </c>
      <c r="F8" s="1" t="s">
        <v>26</v>
      </c>
      <c r="G8" s="1" t="s">
        <v>25</v>
      </c>
      <c r="H8" s="1" t="s">
        <v>26</v>
      </c>
      <c r="I8" s="1" t="s">
        <v>25</v>
      </c>
      <c r="J8" s="1" t="s">
        <v>26</v>
      </c>
      <c r="K8" s="1" t="s">
        <v>26</v>
      </c>
      <c r="L8" s="1" t="s">
        <v>26</v>
      </c>
      <c r="M8" s="1" t="s">
        <v>25</v>
      </c>
      <c r="N8" s="1" t="s">
        <v>25</v>
      </c>
      <c r="O8" s="1" t="s">
        <v>25</v>
      </c>
      <c r="P8" s="1" t="s">
        <v>25</v>
      </c>
      <c r="Q8" s="1" t="s">
        <v>26</v>
      </c>
      <c r="AB8" s="1">
        <v>2</v>
      </c>
      <c r="AC8" s="1">
        <v>1</v>
      </c>
      <c r="AD8" s="1">
        <v>1</v>
      </c>
      <c r="AE8" s="1">
        <v>10</v>
      </c>
      <c r="AF8" s="1">
        <v>1</v>
      </c>
      <c r="AG8" s="1">
        <v>1</v>
      </c>
    </row>
    <row r="9" spans="1:33" x14ac:dyDescent="0.25">
      <c r="A9" s="1">
        <v>8</v>
      </c>
      <c r="B9" s="1" t="s">
        <v>27</v>
      </c>
      <c r="C9" s="1" t="s">
        <v>26</v>
      </c>
      <c r="D9" s="1" t="s">
        <v>25</v>
      </c>
      <c r="E9" s="1" t="s">
        <v>25</v>
      </c>
      <c r="F9" s="1" t="s">
        <v>26</v>
      </c>
      <c r="G9" s="1" t="s">
        <v>25</v>
      </c>
      <c r="H9" s="1" t="s">
        <v>26</v>
      </c>
      <c r="I9" s="1" t="s">
        <v>26</v>
      </c>
      <c r="J9" s="1" t="s">
        <v>25</v>
      </c>
      <c r="K9" s="1" t="s">
        <v>26</v>
      </c>
      <c r="L9" s="1" t="s">
        <v>26</v>
      </c>
      <c r="M9" s="1" t="s">
        <v>26</v>
      </c>
      <c r="N9" s="1" t="s">
        <v>25</v>
      </c>
      <c r="O9" s="1" t="s">
        <v>25</v>
      </c>
      <c r="P9" s="1" t="s">
        <v>25</v>
      </c>
      <c r="Q9" s="1" t="s">
        <v>26</v>
      </c>
      <c r="AB9" s="1">
        <v>6</v>
      </c>
      <c r="AC9" s="1">
        <v>1</v>
      </c>
      <c r="AD9" s="1">
        <v>4</v>
      </c>
      <c r="AE9" s="1">
        <v>6</v>
      </c>
      <c r="AF9" s="1">
        <v>7</v>
      </c>
      <c r="AG9" s="1">
        <v>6</v>
      </c>
    </row>
    <row r="10" spans="1:33" x14ac:dyDescent="0.25">
      <c r="A10" s="1">
        <v>9</v>
      </c>
      <c r="B10" s="1" t="s">
        <v>27</v>
      </c>
      <c r="C10" s="1" t="s">
        <v>25</v>
      </c>
      <c r="D10" s="1" t="s">
        <v>26</v>
      </c>
      <c r="E10" s="1" t="s">
        <v>26</v>
      </c>
      <c r="F10" s="1" t="s">
        <v>26</v>
      </c>
      <c r="G10" s="1" t="s">
        <v>25</v>
      </c>
      <c r="H10" s="1" t="s">
        <v>26</v>
      </c>
      <c r="I10" s="1" t="s">
        <v>26</v>
      </c>
      <c r="J10" s="1" t="s">
        <v>26</v>
      </c>
      <c r="K10" s="1" t="s">
        <v>26</v>
      </c>
      <c r="L10" s="1" t="s">
        <v>26</v>
      </c>
      <c r="M10" s="1" t="s">
        <v>25</v>
      </c>
      <c r="N10" s="1" t="s">
        <v>25</v>
      </c>
      <c r="O10" s="1" t="s">
        <v>25</v>
      </c>
      <c r="P10" s="1" t="s">
        <v>25</v>
      </c>
      <c r="Q10" s="1" t="s">
        <v>26</v>
      </c>
      <c r="AB10" s="1">
        <v>8</v>
      </c>
      <c r="AC10" s="1">
        <v>3</v>
      </c>
      <c r="AD10" s="1">
        <v>5</v>
      </c>
      <c r="AE10" s="1">
        <v>8</v>
      </c>
      <c r="AF10" s="1">
        <v>6</v>
      </c>
      <c r="AG10" s="1">
        <v>3</v>
      </c>
    </row>
    <row r="11" spans="1:33" x14ac:dyDescent="0.25">
      <c r="A11" s="1">
        <v>10</v>
      </c>
      <c r="B11" s="1" t="s">
        <v>27</v>
      </c>
      <c r="C11" s="1" t="s">
        <v>25</v>
      </c>
      <c r="D11" s="1" t="s">
        <v>25</v>
      </c>
      <c r="E11" s="1" t="s">
        <v>25</v>
      </c>
      <c r="F11" s="1" t="s">
        <v>25</v>
      </c>
      <c r="G11" s="1" t="s">
        <v>25</v>
      </c>
      <c r="H11" s="1" t="s">
        <v>26</v>
      </c>
      <c r="I11" s="1" t="s">
        <v>25</v>
      </c>
      <c r="J11" s="1" t="s">
        <v>26</v>
      </c>
      <c r="K11" s="1" t="s">
        <v>26</v>
      </c>
      <c r="L11" s="1" t="s">
        <v>26</v>
      </c>
      <c r="M11" s="1" t="s">
        <v>26</v>
      </c>
      <c r="N11" s="1" t="s">
        <v>25</v>
      </c>
      <c r="O11" s="1" t="s">
        <v>25</v>
      </c>
      <c r="P11" s="1" t="s">
        <v>25</v>
      </c>
      <c r="Q11" s="1" t="s">
        <v>26</v>
      </c>
      <c r="AB11" s="1">
        <v>7</v>
      </c>
      <c r="AC11" s="1">
        <v>3</v>
      </c>
      <c r="AD11" s="1">
        <v>7</v>
      </c>
      <c r="AE11" s="1">
        <v>9</v>
      </c>
      <c r="AF11" s="1">
        <v>6</v>
      </c>
      <c r="AG11" s="1">
        <v>1</v>
      </c>
    </row>
    <row r="12" spans="1:33" x14ac:dyDescent="0.25">
      <c r="A12" s="1">
        <v>11</v>
      </c>
      <c r="B12" s="1" t="s">
        <v>27</v>
      </c>
      <c r="C12" s="1" t="s">
        <v>25</v>
      </c>
      <c r="D12" s="1" t="s">
        <v>25</v>
      </c>
      <c r="E12" s="1" t="s">
        <v>26</v>
      </c>
      <c r="F12" s="1" t="s">
        <v>26</v>
      </c>
      <c r="G12" s="1" t="s">
        <v>25</v>
      </c>
      <c r="H12" s="1" t="s">
        <v>26</v>
      </c>
      <c r="I12" s="1" t="s">
        <v>26</v>
      </c>
      <c r="J12" s="1" t="s">
        <v>25</v>
      </c>
      <c r="K12" s="1" t="s">
        <v>26</v>
      </c>
      <c r="L12" s="1" t="s">
        <v>26</v>
      </c>
      <c r="M12" s="1" t="s">
        <v>26</v>
      </c>
      <c r="N12" s="1" t="s">
        <v>25</v>
      </c>
      <c r="O12" s="1" t="s">
        <v>25</v>
      </c>
      <c r="P12" s="1" t="s">
        <v>25</v>
      </c>
      <c r="Q12" s="1" t="s">
        <v>26</v>
      </c>
      <c r="AB12" s="1">
        <v>10</v>
      </c>
      <c r="AC12" s="1">
        <v>5</v>
      </c>
      <c r="AD12" s="1">
        <v>8</v>
      </c>
      <c r="AE12" s="1">
        <v>8</v>
      </c>
      <c r="AF12" s="1">
        <v>9</v>
      </c>
      <c r="AG12" s="1">
        <v>7</v>
      </c>
    </row>
    <row r="13" spans="1:33" x14ac:dyDescent="0.25">
      <c r="A13" s="1">
        <v>12</v>
      </c>
      <c r="B13" s="1" t="s">
        <v>27</v>
      </c>
      <c r="C13" s="1" t="s">
        <v>25</v>
      </c>
      <c r="D13" s="1" t="s">
        <v>26</v>
      </c>
      <c r="E13" s="1" t="s">
        <v>26</v>
      </c>
      <c r="F13" s="1" t="s">
        <v>26</v>
      </c>
      <c r="G13" s="1" t="s">
        <v>25</v>
      </c>
      <c r="H13" s="1" t="s">
        <v>26</v>
      </c>
      <c r="I13" s="1" t="s">
        <v>26</v>
      </c>
      <c r="J13" s="1" t="s">
        <v>26</v>
      </c>
      <c r="K13" s="1" t="s">
        <v>26</v>
      </c>
      <c r="L13" s="1" t="s">
        <v>25</v>
      </c>
      <c r="M13" s="1" t="s">
        <v>25</v>
      </c>
      <c r="N13" s="1" t="s">
        <v>25</v>
      </c>
      <c r="O13" s="1" t="s">
        <v>25</v>
      </c>
      <c r="P13" s="1" t="s">
        <v>25</v>
      </c>
      <c r="Q13" s="1" t="s">
        <v>26</v>
      </c>
      <c r="AB13" s="1">
        <v>6</v>
      </c>
      <c r="AC13" s="1">
        <v>2</v>
      </c>
      <c r="AD13" s="1">
        <v>5</v>
      </c>
      <c r="AE13" s="1">
        <v>5</v>
      </c>
      <c r="AF13" s="1">
        <v>6</v>
      </c>
      <c r="AG13" s="1">
        <v>3</v>
      </c>
    </row>
    <row r="14" spans="1:33" x14ac:dyDescent="0.25">
      <c r="A14" s="1">
        <v>13</v>
      </c>
      <c r="B14" s="1" t="s">
        <v>27</v>
      </c>
      <c r="C14" s="1" t="s">
        <v>25</v>
      </c>
      <c r="D14" s="1" t="s">
        <v>25</v>
      </c>
      <c r="E14" s="1" t="s">
        <v>25</v>
      </c>
      <c r="F14" s="1" t="s">
        <v>26</v>
      </c>
      <c r="G14" s="1" t="s">
        <v>26</v>
      </c>
      <c r="H14" s="1" t="s">
        <v>25</v>
      </c>
      <c r="I14" s="1" t="s">
        <v>25</v>
      </c>
      <c r="J14" s="1" t="s">
        <v>25</v>
      </c>
      <c r="K14" s="1" t="s">
        <v>26</v>
      </c>
      <c r="L14" s="1" t="s">
        <v>26</v>
      </c>
      <c r="M14" s="1" t="s">
        <v>26</v>
      </c>
      <c r="N14" s="1" t="s">
        <v>25</v>
      </c>
      <c r="O14" s="1" t="s">
        <v>25</v>
      </c>
      <c r="P14" s="1" t="s">
        <v>25</v>
      </c>
      <c r="Q14" s="1" t="s">
        <v>25</v>
      </c>
      <c r="AB14" s="1">
        <v>10</v>
      </c>
      <c r="AC14" s="1">
        <v>1</v>
      </c>
      <c r="AD14" s="1">
        <v>8</v>
      </c>
      <c r="AE14" s="1">
        <v>7</v>
      </c>
      <c r="AF14" s="1">
        <v>7</v>
      </c>
      <c r="AG14" s="1">
        <v>8</v>
      </c>
    </row>
    <row r="15" spans="1:33" x14ac:dyDescent="0.25">
      <c r="A15" s="1">
        <v>14</v>
      </c>
      <c r="B15" s="1" t="s">
        <v>27</v>
      </c>
      <c r="C15" s="1" t="s">
        <v>25</v>
      </c>
      <c r="D15" s="1" t="s">
        <v>26</v>
      </c>
      <c r="E15" s="1" t="s">
        <v>26</v>
      </c>
      <c r="F15" s="1" t="s">
        <v>26</v>
      </c>
      <c r="G15" s="1" t="s">
        <v>26</v>
      </c>
      <c r="H15" s="1" t="s">
        <v>26</v>
      </c>
      <c r="I15" s="1" t="s">
        <v>26</v>
      </c>
      <c r="J15" s="1" t="s">
        <v>26</v>
      </c>
      <c r="K15" s="1" t="s">
        <v>25</v>
      </c>
      <c r="L15" s="1" t="s">
        <v>26</v>
      </c>
      <c r="M15" s="1" t="s">
        <v>26</v>
      </c>
      <c r="N15" s="1" t="s">
        <v>25</v>
      </c>
      <c r="O15" s="1" t="s">
        <v>26</v>
      </c>
      <c r="P15" s="1" t="s">
        <v>25</v>
      </c>
      <c r="Q15" s="1" t="s">
        <v>25</v>
      </c>
      <c r="AB15" s="1">
        <v>5</v>
      </c>
      <c r="AC15" s="1">
        <v>1</v>
      </c>
      <c r="AD15" s="1">
        <v>5</v>
      </c>
      <c r="AE15" s="1">
        <v>4</v>
      </c>
      <c r="AF15" s="1">
        <v>6</v>
      </c>
      <c r="AG15" s="1">
        <v>7</v>
      </c>
    </row>
    <row r="16" spans="1:33" x14ac:dyDescent="0.25">
      <c r="A16" s="1">
        <v>15</v>
      </c>
      <c r="B16" s="1" t="s">
        <v>27</v>
      </c>
      <c r="C16" s="1" t="s">
        <v>25</v>
      </c>
      <c r="D16" s="1" t="s">
        <v>25</v>
      </c>
      <c r="E16" s="1" t="s">
        <v>25</v>
      </c>
      <c r="F16" s="1" t="s">
        <v>25</v>
      </c>
      <c r="G16" s="1" t="s">
        <v>25</v>
      </c>
      <c r="H16" s="1" t="s">
        <v>26</v>
      </c>
      <c r="I16" s="1" t="s">
        <v>25</v>
      </c>
      <c r="J16" s="1" t="s">
        <v>25</v>
      </c>
      <c r="K16" s="1" t="s">
        <v>26</v>
      </c>
      <c r="L16" s="1" t="s">
        <v>25</v>
      </c>
      <c r="M16" s="1" t="s">
        <v>26</v>
      </c>
      <c r="N16" s="1" t="s">
        <v>26</v>
      </c>
      <c r="O16" s="1" t="s">
        <v>26</v>
      </c>
      <c r="P16" s="1" t="s">
        <v>26</v>
      </c>
      <c r="Q16" s="1" t="s">
        <v>25</v>
      </c>
      <c r="AB16" s="1">
        <v>5</v>
      </c>
      <c r="AC16" s="1">
        <v>6</v>
      </c>
      <c r="AD16" s="1">
        <v>1</v>
      </c>
      <c r="AE16" s="1">
        <v>5</v>
      </c>
      <c r="AF16" s="1">
        <v>5</v>
      </c>
      <c r="AG16" s="1">
        <v>7</v>
      </c>
    </row>
    <row r="17" spans="1:33" x14ac:dyDescent="0.25">
      <c r="A17" s="1">
        <v>16</v>
      </c>
      <c r="B17" s="1" t="s">
        <v>27</v>
      </c>
      <c r="C17" s="1" t="s">
        <v>25</v>
      </c>
      <c r="D17" s="1" t="s">
        <v>26</v>
      </c>
      <c r="E17" s="1" t="s">
        <v>26</v>
      </c>
      <c r="F17" s="1" t="s">
        <v>25</v>
      </c>
      <c r="G17" s="1" t="s">
        <v>25</v>
      </c>
      <c r="H17" s="1" t="s">
        <v>25</v>
      </c>
      <c r="I17" s="1" t="s">
        <v>25</v>
      </c>
      <c r="J17" s="1" t="s">
        <v>26</v>
      </c>
      <c r="K17" s="1" t="s">
        <v>26</v>
      </c>
      <c r="L17" s="1" t="s">
        <v>26</v>
      </c>
      <c r="M17" s="1" t="s">
        <v>25</v>
      </c>
      <c r="N17" s="1" t="s">
        <v>26</v>
      </c>
      <c r="O17" s="1" t="s">
        <v>25</v>
      </c>
      <c r="P17" s="1" t="s">
        <v>25</v>
      </c>
      <c r="Q17" s="1" t="s">
        <v>26</v>
      </c>
      <c r="AB17" s="1">
        <v>8</v>
      </c>
      <c r="AC17" s="1">
        <v>6</v>
      </c>
      <c r="AD17" s="1">
        <v>3</v>
      </c>
      <c r="AE17" s="1">
        <v>5</v>
      </c>
      <c r="AF17" s="1">
        <v>5</v>
      </c>
      <c r="AG17" s="1">
        <v>1</v>
      </c>
    </row>
    <row r="18" spans="1:33" x14ac:dyDescent="0.25">
      <c r="A18" s="1">
        <v>17</v>
      </c>
      <c r="B18" s="1" t="s">
        <v>27</v>
      </c>
      <c r="C18" s="1" t="s">
        <v>25</v>
      </c>
      <c r="D18" s="1" t="s">
        <v>26</v>
      </c>
      <c r="E18" s="1" t="s">
        <v>25</v>
      </c>
      <c r="F18" s="1" t="s">
        <v>26</v>
      </c>
      <c r="G18" s="1" t="s">
        <v>25</v>
      </c>
      <c r="H18" s="1" t="s">
        <v>26</v>
      </c>
      <c r="I18" s="1" t="s">
        <v>26</v>
      </c>
      <c r="J18" s="1" t="s">
        <v>26</v>
      </c>
      <c r="K18" s="1" t="s">
        <v>25</v>
      </c>
      <c r="L18" s="1" t="s">
        <v>26</v>
      </c>
      <c r="M18" s="1" t="s">
        <v>25</v>
      </c>
      <c r="N18" s="1" t="s">
        <v>25</v>
      </c>
      <c r="O18" s="1" t="s">
        <v>25</v>
      </c>
      <c r="P18" s="1" t="s">
        <v>25</v>
      </c>
      <c r="Q18" s="1" t="s">
        <v>26</v>
      </c>
      <c r="AB18" s="1">
        <v>7</v>
      </c>
      <c r="AC18" s="1">
        <v>1</v>
      </c>
      <c r="AD18" s="1">
        <v>5</v>
      </c>
      <c r="AE18" s="1">
        <v>7</v>
      </c>
      <c r="AF18" s="1">
        <v>2</v>
      </c>
      <c r="AG18" s="1">
        <v>2</v>
      </c>
    </row>
    <row r="19" spans="1:33" x14ac:dyDescent="0.25">
      <c r="A19" s="1">
        <v>18</v>
      </c>
      <c r="B19" s="1" t="s">
        <v>27</v>
      </c>
      <c r="C19" s="1" t="s">
        <v>26</v>
      </c>
      <c r="D19" s="1" t="s">
        <v>25</v>
      </c>
      <c r="E19" s="1" t="s">
        <v>25</v>
      </c>
      <c r="F19" s="1" t="s">
        <v>25</v>
      </c>
      <c r="G19" s="1" t="s">
        <v>26</v>
      </c>
      <c r="H19" s="1" t="s">
        <v>25</v>
      </c>
      <c r="I19" s="1" t="s">
        <v>26</v>
      </c>
      <c r="J19" s="1" t="s">
        <v>25</v>
      </c>
      <c r="K19" s="1" t="s">
        <v>25</v>
      </c>
      <c r="L19" s="1" t="s">
        <v>26</v>
      </c>
      <c r="M19" s="1" t="s">
        <v>26</v>
      </c>
      <c r="N19" s="1" t="s">
        <v>26</v>
      </c>
      <c r="O19" s="1" t="s">
        <v>25</v>
      </c>
      <c r="P19" s="1" t="s">
        <v>26</v>
      </c>
      <c r="Q19" s="1" t="s">
        <v>26</v>
      </c>
      <c r="AB19" s="1">
        <v>9</v>
      </c>
      <c r="AC19" s="1">
        <v>8</v>
      </c>
      <c r="AD19" s="1">
        <v>2</v>
      </c>
      <c r="AE19" s="1">
        <v>2</v>
      </c>
      <c r="AF19" s="1">
        <v>4</v>
      </c>
      <c r="AG19" s="1">
        <v>7</v>
      </c>
    </row>
    <row r="20" spans="1:33" x14ac:dyDescent="0.25">
      <c r="A20" s="1">
        <v>19</v>
      </c>
      <c r="B20" s="1" t="s">
        <v>27</v>
      </c>
      <c r="C20" s="1" t="s">
        <v>26</v>
      </c>
      <c r="D20" s="1" t="s">
        <v>25</v>
      </c>
      <c r="E20" s="1" t="s">
        <v>26</v>
      </c>
      <c r="F20" s="1" t="s">
        <v>25</v>
      </c>
      <c r="G20" s="1" t="s">
        <v>25</v>
      </c>
      <c r="H20" s="1" t="s">
        <v>25</v>
      </c>
      <c r="I20" s="1" t="s">
        <v>25</v>
      </c>
      <c r="J20" s="1" t="s">
        <v>26</v>
      </c>
      <c r="K20" s="1" t="s">
        <v>26</v>
      </c>
      <c r="L20" s="1" t="s">
        <v>25</v>
      </c>
      <c r="M20" s="1" t="s">
        <v>25</v>
      </c>
      <c r="N20" s="1" t="s">
        <v>25</v>
      </c>
      <c r="O20" s="1" t="s">
        <v>25</v>
      </c>
      <c r="P20" s="1" t="s">
        <v>26</v>
      </c>
      <c r="Q20" s="1" t="s">
        <v>26</v>
      </c>
      <c r="AB20" s="1">
        <v>7</v>
      </c>
      <c r="AC20" s="1">
        <v>7</v>
      </c>
      <c r="AD20" s="1">
        <v>6</v>
      </c>
      <c r="AE20" s="1">
        <v>8</v>
      </c>
      <c r="AF20" s="1">
        <v>9</v>
      </c>
      <c r="AG20" s="1">
        <v>1</v>
      </c>
    </row>
    <row r="21" spans="1:33" x14ac:dyDescent="0.25">
      <c r="A21" s="1">
        <v>20</v>
      </c>
      <c r="B21" s="1" t="s">
        <v>27</v>
      </c>
      <c r="C21" s="1" t="s">
        <v>26</v>
      </c>
      <c r="D21" s="1" t="s">
        <v>25</v>
      </c>
      <c r="E21" s="1" t="s">
        <v>26</v>
      </c>
      <c r="F21" s="1" t="s">
        <v>25</v>
      </c>
      <c r="G21" s="1" t="s">
        <v>25</v>
      </c>
      <c r="H21" s="1" t="s">
        <v>26</v>
      </c>
      <c r="I21" s="1" t="s">
        <v>26</v>
      </c>
      <c r="J21" s="1" t="s">
        <v>26</v>
      </c>
      <c r="K21" s="1" t="s">
        <v>26</v>
      </c>
      <c r="L21" s="1" t="s">
        <v>25</v>
      </c>
      <c r="M21" s="1" t="s">
        <v>25</v>
      </c>
      <c r="N21" s="1" t="s">
        <v>26</v>
      </c>
      <c r="O21" s="1" t="s">
        <v>26</v>
      </c>
      <c r="P21" s="1" t="s">
        <v>25</v>
      </c>
      <c r="Q21" s="1" t="s">
        <v>26</v>
      </c>
      <c r="AB21" s="1">
        <v>7</v>
      </c>
      <c r="AC21" s="1">
        <v>4</v>
      </c>
      <c r="AD21" s="1">
        <v>5</v>
      </c>
      <c r="AE21" s="1">
        <v>7</v>
      </c>
      <c r="AF21" s="1">
        <v>6</v>
      </c>
      <c r="AG21" s="1">
        <v>3</v>
      </c>
    </row>
    <row r="22" spans="1:33" x14ac:dyDescent="0.25">
      <c r="A22" s="1">
        <v>21</v>
      </c>
      <c r="B22" s="1" t="s">
        <v>27</v>
      </c>
      <c r="C22" s="1" t="s">
        <v>25</v>
      </c>
      <c r="D22" s="1" t="s">
        <v>25</v>
      </c>
      <c r="E22" s="1" t="s">
        <v>25</v>
      </c>
      <c r="F22" s="1" t="s">
        <v>25</v>
      </c>
      <c r="G22" s="1" t="s">
        <v>25</v>
      </c>
      <c r="H22" s="1" t="s">
        <v>25</v>
      </c>
      <c r="I22" s="1" t="s">
        <v>25</v>
      </c>
      <c r="J22" s="1" t="s">
        <v>26</v>
      </c>
      <c r="K22" s="1" t="s">
        <v>26</v>
      </c>
      <c r="L22" s="1" t="s">
        <v>25</v>
      </c>
      <c r="M22" s="1" t="s">
        <v>26</v>
      </c>
      <c r="N22" s="1" t="s">
        <v>25</v>
      </c>
      <c r="O22" s="1" t="s">
        <v>26</v>
      </c>
      <c r="P22" s="1" t="s">
        <v>25</v>
      </c>
      <c r="Q22" s="1" t="s">
        <v>26</v>
      </c>
      <c r="AB22" s="1">
        <v>3</v>
      </c>
      <c r="AC22" s="1">
        <v>5</v>
      </c>
      <c r="AD22" s="1">
        <v>7</v>
      </c>
      <c r="AE22" s="1">
        <v>5</v>
      </c>
      <c r="AF22" s="1">
        <v>4</v>
      </c>
      <c r="AG22" s="1">
        <v>6</v>
      </c>
    </row>
    <row r="23" spans="1:33" x14ac:dyDescent="0.25">
      <c r="A23" s="1">
        <v>23</v>
      </c>
      <c r="B23" s="1" t="s">
        <v>27</v>
      </c>
      <c r="C23" s="1" t="s">
        <v>25</v>
      </c>
      <c r="D23" s="1" t="s">
        <v>25</v>
      </c>
      <c r="E23" s="1" t="s">
        <v>25</v>
      </c>
      <c r="F23" s="1" t="s">
        <v>25</v>
      </c>
      <c r="G23" s="1" t="s">
        <v>25</v>
      </c>
      <c r="H23" s="1" t="s">
        <v>26</v>
      </c>
      <c r="I23" s="1" t="s">
        <v>26</v>
      </c>
      <c r="J23" s="1" t="s">
        <v>25</v>
      </c>
      <c r="K23" s="1" t="s">
        <v>26</v>
      </c>
      <c r="L23" s="1" t="s">
        <v>25</v>
      </c>
      <c r="M23" s="1" t="s">
        <v>26</v>
      </c>
      <c r="N23" s="1" t="s">
        <v>26</v>
      </c>
      <c r="O23" s="1" t="s">
        <v>25</v>
      </c>
      <c r="P23" s="1" t="s">
        <v>25</v>
      </c>
      <c r="Q23" s="1" t="s">
        <v>26</v>
      </c>
      <c r="AB23" s="1">
        <v>5</v>
      </c>
      <c r="AC23" s="1">
        <v>7</v>
      </c>
      <c r="AD23" s="1">
        <v>3</v>
      </c>
      <c r="AE23" s="1">
        <v>9</v>
      </c>
      <c r="AF23" s="1">
        <v>7</v>
      </c>
      <c r="AG23" s="1">
        <v>1</v>
      </c>
    </row>
    <row r="24" spans="1:33" x14ac:dyDescent="0.25">
      <c r="A24" s="1">
        <v>24</v>
      </c>
      <c r="B24" s="1" t="s">
        <v>27</v>
      </c>
      <c r="C24" s="1" t="s">
        <v>26</v>
      </c>
      <c r="D24" s="1" t="s">
        <v>25</v>
      </c>
      <c r="E24" s="1" t="s">
        <v>25</v>
      </c>
      <c r="F24" s="1" t="s">
        <v>26</v>
      </c>
      <c r="G24" s="1" t="s">
        <v>25</v>
      </c>
      <c r="H24" s="1" t="s">
        <v>26</v>
      </c>
      <c r="I24" s="1" t="s">
        <v>26</v>
      </c>
      <c r="J24" s="1" t="s">
        <v>25</v>
      </c>
      <c r="K24" s="1" t="s">
        <v>26</v>
      </c>
      <c r="L24" s="1" t="s">
        <v>26</v>
      </c>
      <c r="M24" s="1" t="s">
        <v>25</v>
      </c>
      <c r="N24" s="1" t="s">
        <v>25</v>
      </c>
      <c r="O24" s="1" t="s">
        <v>25</v>
      </c>
      <c r="P24" s="1" t="s">
        <v>25</v>
      </c>
      <c r="Q24" s="1" t="s">
        <v>26</v>
      </c>
      <c r="AB24" s="1">
        <v>6</v>
      </c>
      <c r="AC24" s="1">
        <v>1</v>
      </c>
      <c r="AD24" s="1">
        <v>4</v>
      </c>
      <c r="AE24" s="1">
        <v>9</v>
      </c>
      <c r="AF24" s="1">
        <v>4</v>
      </c>
      <c r="AG24" s="1">
        <v>1</v>
      </c>
    </row>
    <row r="25" spans="1:33" x14ac:dyDescent="0.25">
      <c r="A25" s="1">
        <v>25</v>
      </c>
      <c r="B25" s="1" t="s">
        <v>27</v>
      </c>
      <c r="C25" s="1" t="s">
        <v>25</v>
      </c>
      <c r="D25" s="1" t="s">
        <v>25</v>
      </c>
      <c r="E25" s="1" t="s">
        <v>25</v>
      </c>
      <c r="F25" s="1" t="s">
        <v>25</v>
      </c>
      <c r="G25" s="1" t="s">
        <v>25</v>
      </c>
      <c r="H25" s="1" t="s">
        <v>25</v>
      </c>
      <c r="I25" s="1" t="s">
        <v>25</v>
      </c>
      <c r="J25" s="1" t="s">
        <v>26</v>
      </c>
      <c r="K25" s="1" t="s">
        <v>26</v>
      </c>
      <c r="L25" s="1" t="s">
        <v>26</v>
      </c>
      <c r="M25" s="1" t="s">
        <v>26</v>
      </c>
      <c r="N25" s="1" t="s">
        <v>25</v>
      </c>
      <c r="O25" s="1" t="s">
        <v>25</v>
      </c>
      <c r="P25" s="1" t="s">
        <v>25</v>
      </c>
      <c r="Q25" s="1" t="s">
        <v>26</v>
      </c>
      <c r="AB25" s="1">
        <v>8</v>
      </c>
      <c r="AC25" s="1">
        <v>2</v>
      </c>
      <c r="AD25" s="1">
        <v>2</v>
      </c>
      <c r="AE25" s="1">
        <v>9</v>
      </c>
      <c r="AF25" s="1">
        <v>5</v>
      </c>
      <c r="AG25" s="1">
        <v>2</v>
      </c>
    </row>
    <row r="26" spans="1:33" x14ac:dyDescent="0.25">
      <c r="A26" s="1">
        <v>26</v>
      </c>
      <c r="B26" s="1" t="s">
        <v>27</v>
      </c>
      <c r="C26" s="1" t="s">
        <v>25</v>
      </c>
      <c r="D26" s="1" t="s">
        <v>25</v>
      </c>
      <c r="E26" s="1" t="s">
        <v>26</v>
      </c>
      <c r="F26" s="1" t="s">
        <v>26</v>
      </c>
      <c r="G26" s="1" t="s">
        <v>25</v>
      </c>
      <c r="H26" s="1" t="s">
        <v>26</v>
      </c>
      <c r="I26" s="1" t="s">
        <v>26</v>
      </c>
      <c r="J26" s="1" t="s">
        <v>25</v>
      </c>
      <c r="K26" s="1" t="s">
        <v>26</v>
      </c>
      <c r="L26" s="1" t="s">
        <v>26</v>
      </c>
      <c r="M26" s="1" t="s">
        <v>26</v>
      </c>
      <c r="N26" s="1" t="s">
        <v>25</v>
      </c>
      <c r="O26" s="1" t="s">
        <v>25</v>
      </c>
      <c r="P26" s="1" t="s">
        <v>25</v>
      </c>
      <c r="Q26" s="1" t="s">
        <v>25</v>
      </c>
      <c r="AB26" s="1">
        <v>7</v>
      </c>
      <c r="AC26" s="1">
        <v>1</v>
      </c>
      <c r="AD26" s="1">
        <v>7</v>
      </c>
      <c r="AE26" s="1">
        <v>8</v>
      </c>
      <c r="AF26" s="1">
        <v>8</v>
      </c>
      <c r="AG26" s="1">
        <v>7</v>
      </c>
    </row>
    <row r="27" spans="1:33" x14ac:dyDescent="0.25">
      <c r="A27" s="1">
        <v>27</v>
      </c>
      <c r="B27" s="1" t="s">
        <v>27</v>
      </c>
      <c r="C27" s="1" t="s">
        <v>25</v>
      </c>
      <c r="D27" s="1" t="s">
        <v>25</v>
      </c>
      <c r="E27" s="1" t="s">
        <v>26</v>
      </c>
      <c r="F27" s="1" t="s">
        <v>25</v>
      </c>
      <c r="G27" s="1" t="s">
        <v>25</v>
      </c>
      <c r="H27" s="1" t="s">
        <v>25</v>
      </c>
      <c r="I27" s="1" t="s">
        <v>26</v>
      </c>
      <c r="J27" s="1" t="s">
        <v>26</v>
      </c>
      <c r="K27" s="1" t="s">
        <v>26</v>
      </c>
      <c r="L27" s="1" t="s">
        <v>26</v>
      </c>
      <c r="M27" s="1" t="s">
        <v>25</v>
      </c>
      <c r="N27" s="1" t="s">
        <v>25</v>
      </c>
      <c r="O27" s="1" t="s">
        <v>25</v>
      </c>
      <c r="P27" s="1" t="s">
        <v>25</v>
      </c>
      <c r="Q27" s="1" t="s">
        <v>26</v>
      </c>
      <c r="AB27" s="1">
        <v>9</v>
      </c>
      <c r="AC27" s="1">
        <v>7</v>
      </c>
      <c r="AD27" s="1">
        <v>6</v>
      </c>
      <c r="AE27" s="1">
        <v>7</v>
      </c>
      <c r="AF27" s="1">
        <v>9</v>
      </c>
      <c r="AG27" s="1">
        <v>9</v>
      </c>
    </row>
    <row r="28" spans="1:33" x14ac:dyDescent="0.25">
      <c r="A28" s="1">
        <v>22</v>
      </c>
      <c r="B28" s="1" t="s">
        <v>27</v>
      </c>
      <c r="C28" s="1" t="s">
        <v>26</v>
      </c>
      <c r="D28" s="1" t="s">
        <v>25</v>
      </c>
      <c r="E28" s="1" t="s">
        <v>26</v>
      </c>
      <c r="F28" s="1" t="s">
        <v>25</v>
      </c>
      <c r="G28" s="1" t="s">
        <v>25</v>
      </c>
      <c r="H28" s="1" t="s">
        <v>26</v>
      </c>
      <c r="I28" s="1" t="s">
        <v>26</v>
      </c>
      <c r="J28" s="1" t="s">
        <v>26</v>
      </c>
      <c r="K28" s="1" t="s">
        <v>26</v>
      </c>
      <c r="L28" s="1" t="s">
        <v>25</v>
      </c>
      <c r="M28" s="1" t="s">
        <v>25</v>
      </c>
      <c r="N28" s="1" t="s">
        <v>25</v>
      </c>
      <c r="O28" s="1" t="s">
        <v>25</v>
      </c>
      <c r="P28" s="1" t="s">
        <v>25</v>
      </c>
      <c r="Q28" s="1" t="s">
        <v>26</v>
      </c>
      <c r="AB28" s="1">
        <v>2</v>
      </c>
      <c r="AC28" s="1">
        <v>1</v>
      </c>
      <c r="AD28" s="1">
        <v>5</v>
      </c>
      <c r="AE28" s="1">
        <v>8</v>
      </c>
      <c r="AF28" s="1">
        <v>5</v>
      </c>
      <c r="AG28" s="1">
        <v>1</v>
      </c>
    </row>
    <row r="29" spans="1:33" x14ac:dyDescent="0.25">
      <c r="A29" s="1">
        <v>28</v>
      </c>
      <c r="B29" s="1" t="s">
        <v>27</v>
      </c>
      <c r="C29" s="1" t="s">
        <v>26</v>
      </c>
      <c r="D29" s="1" t="s">
        <v>25</v>
      </c>
      <c r="E29" s="1" t="s">
        <v>26</v>
      </c>
      <c r="F29" s="1" t="s">
        <v>26</v>
      </c>
      <c r="G29" s="1" t="s">
        <v>25</v>
      </c>
      <c r="H29" s="1" t="s">
        <v>26</v>
      </c>
      <c r="I29" s="1" t="s">
        <v>26</v>
      </c>
      <c r="J29" s="1" t="s">
        <v>25</v>
      </c>
      <c r="K29" s="1" t="s">
        <v>25</v>
      </c>
      <c r="L29" s="1" t="s">
        <v>25</v>
      </c>
      <c r="M29" s="1" t="s">
        <v>25</v>
      </c>
      <c r="N29" s="1" t="s">
        <v>25</v>
      </c>
      <c r="O29" s="1" t="s">
        <v>25</v>
      </c>
      <c r="P29" s="1" t="s">
        <v>25</v>
      </c>
      <c r="Q29" s="1" t="s">
        <v>26</v>
      </c>
      <c r="AB29" s="1">
        <v>4</v>
      </c>
      <c r="AC29" s="1">
        <v>1</v>
      </c>
      <c r="AD29" s="1">
        <v>5</v>
      </c>
      <c r="AE29" s="1">
        <v>8</v>
      </c>
      <c r="AF29" s="1">
        <v>3</v>
      </c>
      <c r="AG29" s="1">
        <v>4</v>
      </c>
    </row>
    <row r="30" spans="1:33" x14ac:dyDescent="0.25">
      <c r="A30" s="1">
        <v>29</v>
      </c>
      <c r="B30" s="1" t="s">
        <v>27</v>
      </c>
      <c r="C30" s="1" t="s">
        <v>26</v>
      </c>
      <c r="D30" s="1" t="s">
        <v>25</v>
      </c>
      <c r="E30" s="1" t="s">
        <v>26</v>
      </c>
      <c r="F30" s="1" t="s">
        <v>26</v>
      </c>
      <c r="G30" s="1" t="s">
        <v>25</v>
      </c>
      <c r="H30" s="1" t="s">
        <v>26</v>
      </c>
      <c r="I30" s="1" t="s">
        <v>26</v>
      </c>
      <c r="J30" s="1" t="s">
        <v>26</v>
      </c>
      <c r="K30" s="1" t="s">
        <v>25</v>
      </c>
      <c r="L30" s="1" t="s">
        <v>26</v>
      </c>
      <c r="M30" s="1" t="s">
        <v>25</v>
      </c>
      <c r="N30" s="1" t="s">
        <v>26</v>
      </c>
      <c r="O30" s="1" t="s">
        <v>25</v>
      </c>
      <c r="P30" s="1" t="s">
        <v>25</v>
      </c>
      <c r="Q30" s="1" t="s">
        <v>26</v>
      </c>
      <c r="AB30" s="1">
        <v>9</v>
      </c>
      <c r="AC30" s="1">
        <v>1</v>
      </c>
      <c r="AD30" s="1">
        <v>3</v>
      </c>
      <c r="AE30" s="1">
        <v>9</v>
      </c>
      <c r="AF30" s="1">
        <v>7</v>
      </c>
      <c r="AG30" s="1">
        <v>1</v>
      </c>
    </row>
    <row r="31" spans="1:33" x14ac:dyDescent="0.25">
      <c r="R31" s="2" t="s">
        <v>52</v>
      </c>
      <c r="S31" s="2" t="s">
        <v>53</v>
      </c>
      <c r="T31" s="2" t="s">
        <v>54</v>
      </c>
      <c r="U31" s="2" t="s">
        <v>55</v>
      </c>
      <c r="V31" s="2" t="s">
        <v>56</v>
      </c>
      <c r="W31" s="2" t="s">
        <v>57</v>
      </c>
      <c r="X31" s="2" t="s">
        <v>58</v>
      </c>
    </row>
    <row r="32" spans="1:33" x14ac:dyDescent="0.25">
      <c r="A32" s="1">
        <v>1</v>
      </c>
      <c r="B32" s="1" t="s">
        <v>27</v>
      </c>
      <c r="C32" t="str">
        <f>IF(C2="A","Effort","Performance")</f>
        <v>Effort</v>
      </c>
      <c r="D32" t="str">
        <f>IF(D2="A","Temporal Demand", "Frustration")</f>
        <v>Temporal Demand</v>
      </c>
      <c r="E32" t="str">
        <f>IF(E2="A","Temporal Demand", "Effort")</f>
        <v>Temporal Demand</v>
      </c>
      <c r="F32" t="str">
        <f>IF(F2="A","Physical Demand","Frustration")</f>
        <v>Physical Demand</v>
      </c>
      <c r="G32" t="str">
        <f>IF(G2="A","Performance","Frustration")</f>
        <v>Performance</v>
      </c>
      <c r="H32" t="str">
        <f>IF(H2="A","Physical Demand", "Temporal Demand")</f>
        <v>Temporal Demand</v>
      </c>
      <c r="I32" t="str">
        <f>IF(I2="A","Physical Demand", "Performance")</f>
        <v>Physical Demand</v>
      </c>
      <c r="J32" t="str">
        <f>IF(J2="A","Temporal Demand", "Mental Demand")</f>
        <v>Temporal Demand</v>
      </c>
      <c r="K32" t="str">
        <f>IF(K2="A","Frustration", "Effort")</f>
        <v>Effort</v>
      </c>
      <c r="L32" t="str">
        <f>IF(L2="A","Performance","Mental Demand")</f>
        <v>Mental Demand</v>
      </c>
      <c r="M32" t="str">
        <f>IF(M2="A","Performance","Temporal Demand")</f>
        <v>Temporal Demand</v>
      </c>
      <c r="N32" t="str">
        <f>IF(N2="A","Mental Demand", "Effort")</f>
        <v>Mental Demand</v>
      </c>
      <c r="O32" t="str">
        <f>IF(O2="A","Mental Demand", "Physical Demand")</f>
        <v>Physical Demand</v>
      </c>
      <c r="P32" t="str">
        <f>IF(P2="A","Effort", "Physical Demand")</f>
        <v>Effort</v>
      </c>
      <c r="Q32" t="str">
        <f>IF(Q2="A","Frustration", "Mental Demand")</f>
        <v>Mental Demand</v>
      </c>
      <c r="R32">
        <f>COUNTIF(C32:Q32,R$31)</f>
        <v>3</v>
      </c>
      <c r="S32">
        <f>COUNTIF(C32:Q32,S$31)</f>
        <v>3</v>
      </c>
      <c r="T32">
        <f>COUNTIF(C32:Q32,T$31)</f>
        <v>5</v>
      </c>
      <c r="U32">
        <f>COUNTIF(C32:Q32,U$31)</f>
        <v>1</v>
      </c>
      <c r="V32">
        <f>COUNTIF(C32:Q32,V$31)</f>
        <v>3</v>
      </c>
      <c r="W32">
        <f>COUNTIF(C32:Q32,W$31)</f>
        <v>0</v>
      </c>
      <c r="X32">
        <f>SUM(R32:W32)</f>
        <v>15</v>
      </c>
    </row>
    <row r="33" spans="1:24" x14ac:dyDescent="0.25">
      <c r="A33" s="1">
        <v>2</v>
      </c>
      <c r="B33" s="1" t="s">
        <v>27</v>
      </c>
      <c r="C33" t="str">
        <f t="shared" ref="C33:C60" si="0">IF(C3="A","Effort","Performance")</f>
        <v>Effort</v>
      </c>
      <c r="D33" t="str">
        <f t="shared" ref="D33:D60" si="1">IF(D3="A","Temporal Demand", "Frustration")</f>
        <v>Temporal Demand</v>
      </c>
      <c r="E33" t="str">
        <f t="shared" ref="E33:E60" si="2">IF(E3="A","Temporal Demand", "Effort")</f>
        <v>Temporal Demand</v>
      </c>
      <c r="F33" t="str">
        <f t="shared" ref="F33:F60" si="3">IF(F3="A","Physical Demand","Frustration")</f>
        <v>Physical Demand</v>
      </c>
      <c r="G33" t="str">
        <f t="shared" ref="G33:G60" si="4">IF(G3="A","Performance","Frustration")</f>
        <v>Performance</v>
      </c>
      <c r="H33" t="str">
        <f t="shared" ref="H33:H60" si="5">IF(H3="A","Physical Demand", "Temporal Demand")</f>
        <v>Temporal Demand</v>
      </c>
      <c r="I33" t="str">
        <f t="shared" ref="I33:I60" si="6">IF(I3="A","Physical Demand", "Performance")</f>
        <v>Physical Demand</v>
      </c>
      <c r="J33" t="str">
        <f t="shared" ref="J33:J60" si="7">IF(J3="A","Temporal Demand", "Mental Demand")</f>
        <v>Temporal Demand</v>
      </c>
      <c r="K33" t="str">
        <f t="shared" ref="K33:K60" si="8">IF(K3="A","Frustration", "Effort")</f>
        <v>Effort</v>
      </c>
      <c r="L33" t="str">
        <f t="shared" ref="L33:L60" si="9">IF(L3="A","Performance","Mental Demand")</f>
        <v>Performance</v>
      </c>
      <c r="M33" t="str">
        <f t="shared" ref="M33:M60" si="10">IF(M3="A","Performance","Temporal Demand")</f>
        <v>Temporal Demand</v>
      </c>
      <c r="N33" t="str">
        <f t="shared" ref="N33:N60" si="11">IF(N3="A","Mental Demand", "Effort")</f>
        <v>Effort</v>
      </c>
      <c r="O33" t="str">
        <f t="shared" ref="O33:O60" si="12">IF(O3="A","Mental Demand", "Physical Demand")</f>
        <v>Physical Demand</v>
      </c>
      <c r="P33" t="str">
        <f t="shared" ref="P33:P60" si="13">IF(P3="A","Effort", "Physical Demand")</f>
        <v>Physical Demand</v>
      </c>
      <c r="Q33" t="str">
        <f t="shared" ref="Q33:Q60" si="14">IF(Q3="A","Frustration", "Mental Demand")</f>
        <v>Mental Demand</v>
      </c>
      <c r="R33">
        <f t="shared" ref="R33:R60" si="15">COUNTIF(C33:Q33,R$31)</f>
        <v>1</v>
      </c>
      <c r="S33">
        <f t="shared" ref="S33:S60" si="16">COUNTIF(C33:Q33,S$31)</f>
        <v>4</v>
      </c>
      <c r="T33">
        <f t="shared" ref="T33:T60" si="17">COUNTIF(C33:Q33,T$31)</f>
        <v>5</v>
      </c>
      <c r="U33">
        <f t="shared" ref="U33:U60" si="18">COUNTIF(C33:Q33,U$31)</f>
        <v>2</v>
      </c>
      <c r="V33">
        <f t="shared" ref="V33:V60" si="19">COUNTIF(C33:Q33,V$31)</f>
        <v>3</v>
      </c>
      <c r="W33">
        <f t="shared" ref="W33:W60" si="20">COUNTIF(C33:Q33,W$31)</f>
        <v>0</v>
      </c>
      <c r="X33">
        <f t="shared" ref="X33:X60" si="21">SUM(R33:W33)</f>
        <v>15</v>
      </c>
    </row>
    <row r="34" spans="1:24" x14ac:dyDescent="0.25">
      <c r="A34" s="1">
        <v>3</v>
      </c>
      <c r="B34" s="1" t="s">
        <v>27</v>
      </c>
      <c r="C34" t="str">
        <f t="shared" si="0"/>
        <v>Effort</v>
      </c>
      <c r="D34" t="str">
        <f t="shared" si="1"/>
        <v>Temporal Demand</v>
      </c>
      <c r="E34" t="str">
        <f t="shared" si="2"/>
        <v>Effort</v>
      </c>
      <c r="F34" t="str">
        <f t="shared" si="3"/>
        <v>Physical Demand</v>
      </c>
      <c r="G34" t="str">
        <f t="shared" si="4"/>
        <v>Frustration</v>
      </c>
      <c r="H34" t="str">
        <f t="shared" si="5"/>
        <v>Physical Demand</v>
      </c>
      <c r="I34" t="str">
        <f t="shared" si="6"/>
        <v>Performance</v>
      </c>
      <c r="J34" t="str">
        <f t="shared" si="7"/>
        <v>Mental Demand</v>
      </c>
      <c r="K34" t="str">
        <f t="shared" si="8"/>
        <v>Effort</v>
      </c>
      <c r="L34" t="str">
        <f t="shared" si="9"/>
        <v>Mental Demand</v>
      </c>
      <c r="M34" t="str">
        <f t="shared" si="10"/>
        <v>Performance</v>
      </c>
      <c r="N34" t="str">
        <f t="shared" si="11"/>
        <v>Mental Demand</v>
      </c>
      <c r="O34" t="str">
        <f t="shared" si="12"/>
        <v>Mental Demand</v>
      </c>
      <c r="P34" t="str">
        <f t="shared" si="13"/>
        <v>Effort</v>
      </c>
      <c r="Q34" t="str">
        <f t="shared" si="14"/>
        <v>Mental Demand</v>
      </c>
      <c r="R34">
        <f t="shared" si="15"/>
        <v>5</v>
      </c>
      <c r="S34">
        <f t="shared" si="16"/>
        <v>2</v>
      </c>
      <c r="T34">
        <f t="shared" si="17"/>
        <v>1</v>
      </c>
      <c r="U34">
        <f t="shared" si="18"/>
        <v>2</v>
      </c>
      <c r="V34">
        <f t="shared" si="19"/>
        <v>4</v>
      </c>
      <c r="W34">
        <f t="shared" si="20"/>
        <v>1</v>
      </c>
      <c r="X34">
        <f t="shared" si="21"/>
        <v>15</v>
      </c>
    </row>
    <row r="35" spans="1:24" x14ac:dyDescent="0.25">
      <c r="A35" s="1">
        <v>4</v>
      </c>
      <c r="B35" s="1" t="s">
        <v>27</v>
      </c>
      <c r="C35" t="str">
        <f t="shared" si="0"/>
        <v>Effort</v>
      </c>
      <c r="D35" t="str">
        <f t="shared" si="1"/>
        <v>Temporal Demand</v>
      </c>
      <c r="E35" t="str">
        <f t="shared" si="2"/>
        <v>Effort</v>
      </c>
      <c r="F35" t="str">
        <f t="shared" si="3"/>
        <v>Physical Demand</v>
      </c>
      <c r="G35" t="str">
        <f t="shared" si="4"/>
        <v>Performance</v>
      </c>
      <c r="H35" t="str">
        <f t="shared" si="5"/>
        <v>Temporal Demand</v>
      </c>
      <c r="I35" t="str">
        <f t="shared" si="6"/>
        <v>Performance</v>
      </c>
      <c r="J35" t="str">
        <f t="shared" si="7"/>
        <v>Mental Demand</v>
      </c>
      <c r="K35" t="str">
        <f t="shared" si="8"/>
        <v>Effort</v>
      </c>
      <c r="L35" t="str">
        <f t="shared" si="9"/>
        <v>Mental Demand</v>
      </c>
      <c r="M35" t="str">
        <f t="shared" si="10"/>
        <v>Performance</v>
      </c>
      <c r="N35" t="str">
        <f t="shared" si="11"/>
        <v>Mental Demand</v>
      </c>
      <c r="O35" t="str">
        <f t="shared" si="12"/>
        <v>Mental Demand</v>
      </c>
      <c r="P35" t="str">
        <f t="shared" si="13"/>
        <v>Effort</v>
      </c>
      <c r="Q35" t="str">
        <f t="shared" si="14"/>
        <v>Mental Demand</v>
      </c>
      <c r="R35">
        <f t="shared" si="15"/>
        <v>5</v>
      </c>
      <c r="S35">
        <f t="shared" si="16"/>
        <v>1</v>
      </c>
      <c r="T35">
        <f t="shared" si="17"/>
        <v>2</v>
      </c>
      <c r="U35">
        <f t="shared" si="18"/>
        <v>3</v>
      </c>
      <c r="V35">
        <f t="shared" si="19"/>
        <v>4</v>
      </c>
      <c r="W35">
        <f t="shared" si="20"/>
        <v>0</v>
      </c>
      <c r="X35">
        <f t="shared" si="21"/>
        <v>15</v>
      </c>
    </row>
    <row r="36" spans="1:24" x14ac:dyDescent="0.25">
      <c r="A36" s="1">
        <v>5</v>
      </c>
      <c r="B36" s="1" t="s">
        <v>27</v>
      </c>
      <c r="C36" t="str">
        <f t="shared" si="0"/>
        <v>Effort</v>
      </c>
      <c r="D36" t="str">
        <f t="shared" si="1"/>
        <v>Temporal Demand</v>
      </c>
      <c r="E36" t="str">
        <f t="shared" si="2"/>
        <v>Effort</v>
      </c>
      <c r="F36" t="str">
        <f t="shared" si="3"/>
        <v>Physical Demand</v>
      </c>
      <c r="G36" t="str">
        <f t="shared" si="4"/>
        <v>Performance</v>
      </c>
      <c r="H36" t="str">
        <f t="shared" si="5"/>
        <v>Temporal Demand</v>
      </c>
      <c r="I36" t="str">
        <f t="shared" si="6"/>
        <v>Physical Demand</v>
      </c>
      <c r="J36" t="str">
        <f t="shared" si="7"/>
        <v>Mental Demand</v>
      </c>
      <c r="K36" t="str">
        <f t="shared" si="8"/>
        <v>Effort</v>
      </c>
      <c r="L36" t="str">
        <f t="shared" si="9"/>
        <v>Mental Demand</v>
      </c>
      <c r="M36" t="str">
        <f t="shared" si="10"/>
        <v>Performance</v>
      </c>
      <c r="N36" t="str">
        <f t="shared" si="11"/>
        <v>Mental Demand</v>
      </c>
      <c r="O36" t="str">
        <f t="shared" si="12"/>
        <v>Mental Demand</v>
      </c>
      <c r="P36" t="str">
        <f t="shared" si="13"/>
        <v>Effort</v>
      </c>
      <c r="Q36" t="str">
        <f t="shared" si="14"/>
        <v>Mental Demand</v>
      </c>
      <c r="R36">
        <f t="shared" si="15"/>
        <v>5</v>
      </c>
      <c r="S36">
        <f t="shared" si="16"/>
        <v>2</v>
      </c>
      <c r="T36">
        <f t="shared" si="17"/>
        <v>2</v>
      </c>
      <c r="U36">
        <f t="shared" si="18"/>
        <v>2</v>
      </c>
      <c r="V36">
        <f t="shared" si="19"/>
        <v>4</v>
      </c>
      <c r="W36">
        <f t="shared" si="20"/>
        <v>0</v>
      </c>
      <c r="X36">
        <f t="shared" si="21"/>
        <v>15</v>
      </c>
    </row>
    <row r="37" spans="1:24" x14ac:dyDescent="0.25">
      <c r="A37" s="1">
        <v>6</v>
      </c>
      <c r="B37" s="1" t="s">
        <v>27</v>
      </c>
      <c r="C37" t="str">
        <f t="shared" si="0"/>
        <v>Effort</v>
      </c>
      <c r="D37" t="str">
        <f t="shared" si="1"/>
        <v>Temporal Demand</v>
      </c>
      <c r="E37" t="str">
        <f t="shared" si="2"/>
        <v>Effort</v>
      </c>
      <c r="F37" t="str">
        <f t="shared" si="3"/>
        <v>Physical Demand</v>
      </c>
      <c r="G37" t="str">
        <f t="shared" si="4"/>
        <v>Performance</v>
      </c>
      <c r="H37" t="str">
        <f t="shared" si="5"/>
        <v>Physical Demand</v>
      </c>
      <c r="I37" t="str">
        <f t="shared" si="6"/>
        <v>Physical Demand</v>
      </c>
      <c r="J37" t="str">
        <f t="shared" si="7"/>
        <v>Mental Demand</v>
      </c>
      <c r="K37" t="str">
        <f t="shared" si="8"/>
        <v>Effort</v>
      </c>
      <c r="L37" t="str">
        <f t="shared" si="9"/>
        <v>Mental Demand</v>
      </c>
      <c r="M37" t="str">
        <f t="shared" si="10"/>
        <v>Performance</v>
      </c>
      <c r="N37" t="str">
        <f t="shared" si="11"/>
        <v>Effort</v>
      </c>
      <c r="O37" t="str">
        <f t="shared" si="12"/>
        <v>Mental Demand</v>
      </c>
      <c r="P37" t="str">
        <f t="shared" si="13"/>
        <v>Physical Demand</v>
      </c>
      <c r="Q37" t="str">
        <f t="shared" si="14"/>
        <v>Mental Demand</v>
      </c>
      <c r="R37">
        <f t="shared" si="15"/>
        <v>4</v>
      </c>
      <c r="S37">
        <f t="shared" si="16"/>
        <v>4</v>
      </c>
      <c r="T37">
        <f t="shared" si="17"/>
        <v>1</v>
      </c>
      <c r="U37">
        <f t="shared" si="18"/>
        <v>2</v>
      </c>
      <c r="V37">
        <f t="shared" si="19"/>
        <v>4</v>
      </c>
      <c r="W37">
        <f t="shared" si="20"/>
        <v>0</v>
      </c>
      <c r="X37">
        <f t="shared" si="21"/>
        <v>15</v>
      </c>
    </row>
    <row r="38" spans="1:24" x14ac:dyDescent="0.25">
      <c r="A38" s="1">
        <v>7</v>
      </c>
      <c r="B38" s="1" t="s">
        <v>27</v>
      </c>
      <c r="C38" t="str">
        <f t="shared" si="0"/>
        <v>Performance</v>
      </c>
      <c r="D38" t="str">
        <f t="shared" si="1"/>
        <v>Frustration</v>
      </c>
      <c r="E38" t="str">
        <f t="shared" si="2"/>
        <v>Effort</v>
      </c>
      <c r="F38" t="str">
        <f t="shared" si="3"/>
        <v>Frustration</v>
      </c>
      <c r="G38" t="str">
        <f t="shared" si="4"/>
        <v>Performance</v>
      </c>
      <c r="H38" t="str">
        <f t="shared" si="5"/>
        <v>Temporal Demand</v>
      </c>
      <c r="I38" t="str">
        <f t="shared" si="6"/>
        <v>Physical Demand</v>
      </c>
      <c r="J38" t="str">
        <f t="shared" si="7"/>
        <v>Mental Demand</v>
      </c>
      <c r="K38" t="str">
        <f t="shared" si="8"/>
        <v>Effort</v>
      </c>
      <c r="L38" t="str">
        <f t="shared" si="9"/>
        <v>Mental Demand</v>
      </c>
      <c r="M38" t="str">
        <f t="shared" si="10"/>
        <v>Performance</v>
      </c>
      <c r="N38" t="str">
        <f t="shared" si="11"/>
        <v>Mental Demand</v>
      </c>
      <c r="O38" t="str">
        <f t="shared" si="12"/>
        <v>Mental Demand</v>
      </c>
      <c r="P38" t="str">
        <f t="shared" si="13"/>
        <v>Effort</v>
      </c>
      <c r="Q38" t="str">
        <f t="shared" si="14"/>
        <v>Mental Demand</v>
      </c>
      <c r="R38">
        <f t="shared" si="15"/>
        <v>5</v>
      </c>
      <c r="S38">
        <f t="shared" si="16"/>
        <v>1</v>
      </c>
      <c r="T38">
        <f t="shared" si="17"/>
        <v>1</v>
      </c>
      <c r="U38">
        <f t="shared" si="18"/>
        <v>3</v>
      </c>
      <c r="V38">
        <f t="shared" si="19"/>
        <v>3</v>
      </c>
      <c r="W38">
        <f t="shared" si="20"/>
        <v>2</v>
      </c>
      <c r="X38">
        <f t="shared" si="21"/>
        <v>15</v>
      </c>
    </row>
    <row r="39" spans="1:24" x14ac:dyDescent="0.25">
      <c r="A39" s="1">
        <v>8</v>
      </c>
      <c r="B39" s="1" t="s">
        <v>27</v>
      </c>
      <c r="C39" t="str">
        <f t="shared" si="0"/>
        <v>Performance</v>
      </c>
      <c r="D39" t="str">
        <f t="shared" si="1"/>
        <v>Temporal Demand</v>
      </c>
      <c r="E39" t="str">
        <f t="shared" si="2"/>
        <v>Temporal Demand</v>
      </c>
      <c r="F39" t="str">
        <f t="shared" si="3"/>
        <v>Frustration</v>
      </c>
      <c r="G39" t="str">
        <f t="shared" si="4"/>
        <v>Performance</v>
      </c>
      <c r="H39" t="str">
        <f t="shared" si="5"/>
        <v>Temporal Demand</v>
      </c>
      <c r="I39" t="str">
        <f t="shared" si="6"/>
        <v>Performance</v>
      </c>
      <c r="J39" t="str">
        <f t="shared" si="7"/>
        <v>Temporal Demand</v>
      </c>
      <c r="K39" t="str">
        <f t="shared" si="8"/>
        <v>Effort</v>
      </c>
      <c r="L39" t="str">
        <f t="shared" si="9"/>
        <v>Mental Demand</v>
      </c>
      <c r="M39" t="str">
        <f t="shared" si="10"/>
        <v>Temporal Demand</v>
      </c>
      <c r="N39" t="str">
        <f t="shared" si="11"/>
        <v>Mental Demand</v>
      </c>
      <c r="O39" t="str">
        <f t="shared" si="12"/>
        <v>Mental Demand</v>
      </c>
      <c r="P39" t="str">
        <f t="shared" si="13"/>
        <v>Effort</v>
      </c>
      <c r="Q39" t="str">
        <f t="shared" si="14"/>
        <v>Mental Demand</v>
      </c>
      <c r="R39">
        <f t="shared" si="15"/>
        <v>4</v>
      </c>
      <c r="S39">
        <f t="shared" si="16"/>
        <v>0</v>
      </c>
      <c r="T39">
        <f t="shared" si="17"/>
        <v>5</v>
      </c>
      <c r="U39">
        <f t="shared" si="18"/>
        <v>3</v>
      </c>
      <c r="V39">
        <f t="shared" si="19"/>
        <v>2</v>
      </c>
      <c r="W39">
        <f t="shared" si="20"/>
        <v>1</v>
      </c>
      <c r="X39">
        <f t="shared" si="21"/>
        <v>15</v>
      </c>
    </row>
    <row r="40" spans="1:24" x14ac:dyDescent="0.25">
      <c r="A40" s="1">
        <v>9</v>
      </c>
      <c r="B40" s="1" t="s">
        <v>27</v>
      </c>
      <c r="C40" t="str">
        <f t="shared" si="0"/>
        <v>Effort</v>
      </c>
      <c r="D40" t="str">
        <f t="shared" si="1"/>
        <v>Frustration</v>
      </c>
      <c r="E40" t="str">
        <f t="shared" si="2"/>
        <v>Effort</v>
      </c>
      <c r="F40" t="str">
        <f t="shared" si="3"/>
        <v>Frustration</v>
      </c>
      <c r="G40" t="str">
        <f t="shared" si="4"/>
        <v>Performance</v>
      </c>
      <c r="H40" t="str">
        <f t="shared" si="5"/>
        <v>Temporal Demand</v>
      </c>
      <c r="I40" t="str">
        <f t="shared" si="6"/>
        <v>Performance</v>
      </c>
      <c r="J40" t="str">
        <f t="shared" si="7"/>
        <v>Mental Demand</v>
      </c>
      <c r="K40" t="str">
        <f t="shared" si="8"/>
        <v>Effort</v>
      </c>
      <c r="L40" t="str">
        <f t="shared" si="9"/>
        <v>Mental Demand</v>
      </c>
      <c r="M40" t="str">
        <f t="shared" si="10"/>
        <v>Performance</v>
      </c>
      <c r="N40" t="str">
        <f t="shared" si="11"/>
        <v>Mental Demand</v>
      </c>
      <c r="O40" t="str">
        <f t="shared" si="12"/>
        <v>Mental Demand</v>
      </c>
      <c r="P40" t="str">
        <f t="shared" si="13"/>
        <v>Effort</v>
      </c>
      <c r="Q40" t="str">
        <f t="shared" si="14"/>
        <v>Mental Demand</v>
      </c>
      <c r="R40">
        <f t="shared" si="15"/>
        <v>5</v>
      </c>
      <c r="S40">
        <f t="shared" si="16"/>
        <v>0</v>
      </c>
      <c r="T40">
        <f t="shared" si="17"/>
        <v>1</v>
      </c>
      <c r="U40">
        <f t="shared" si="18"/>
        <v>3</v>
      </c>
      <c r="V40">
        <f t="shared" si="19"/>
        <v>4</v>
      </c>
      <c r="W40">
        <f t="shared" si="20"/>
        <v>2</v>
      </c>
      <c r="X40">
        <f t="shared" si="21"/>
        <v>15</v>
      </c>
    </row>
    <row r="41" spans="1:24" x14ac:dyDescent="0.25">
      <c r="A41" s="1">
        <v>10</v>
      </c>
      <c r="B41" s="1" t="s">
        <v>27</v>
      </c>
      <c r="C41" t="str">
        <f t="shared" si="0"/>
        <v>Effort</v>
      </c>
      <c r="D41" t="str">
        <f t="shared" si="1"/>
        <v>Temporal Demand</v>
      </c>
      <c r="E41" t="str">
        <f t="shared" si="2"/>
        <v>Temporal Demand</v>
      </c>
      <c r="F41" t="str">
        <f t="shared" si="3"/>
        <v>Physical Demand</v>
      </c>
      <c r="G41" t="str">
        <f t="shared" si="4"/>
        <v>Performance</v>
      </c>
      <c r="H41" t="str">
        <f t="shared" si="5"/>
        <v>Temporal Demand</v>
      </c>
      <c r="I41" t="str">
        <f t="shared" si="6"/>
        <v>Physical Demand</v>
      </c>
      <c r="J41" t="str">
        <f t="shared" si="7"/>
        <v>Mental Demand</v>
      </c>
      <c r="K41" t="str">
        <f t="shared" si="8"/>
        <v>Effort</v>
      </c>
      <c r="L41" t="str">
        <f t="shared" si="9"/>
        <v>Mental Demand</v>
      </c>
      <c r="M41" t="str">
        <f t="shared" si="10"/>
        <v>Temporal Demand</v>
      </c>
      <c r="N41" t="str">
        <f t="shared" si="11"/>
        <v>Mental Demand</v>
      </c>
      <c r="O41" t="str">
        <f t="shared" si="12"/>
        <v>Mental Demand</v>
      </c>
      <c r="P41" t="str">
        <f t="shared" si="13"/>
        <v>Effort</v>
      </c>
      <c r="Q41" t="str">
        <f t="shared" si="14"/>
        <v>Mental Demand</v>
      </c>
      <c r="R41">
        <f t="shared" si="15"/>
        <v>5</v>
      </c>
      <c r="S41">
        <f t="shared" si="16"/>
        <v>2</v>
      </c>
      <c r="T41">
        <f t="shared" si="17"/>
        <v>4</v>
      </c>
      <c r="U41">
        <f t="shared" si="18"/>
        <v>1</v>
      </c>
      <c r="V41">
        <f t="shared" si="19"/>
        <v>3</v>
      </c>
      <c r="W41">
        <f t="shared" si="20"/>
        <v>0</v>
      </c>
      <c r="X41">
        <f t="shared" si="21"/>
        <v>15</v>
      </c>
    </row>
    <row r="42" spans="1:24" x14ac:dyDescent="0.25">
      <c r="A42" s="1">
        <v>11</v>
      </c>
      <c r="B42" s="1" t="s">
        <v>27</v>
      </c>
      <c r="C42" t="str">
        <f t="shared" si="0"/>
        <v>Effort</v>
      </c>
      <c r="D42" t="str">
        <f t="shared" si="1"/>
        <v>Temporal Demand</v>
      </c>
      <c r="E42" t="str">
        <f t="shared" si="2"/>
        <v>Effort</v>
      </c>
      <c r="F42" t="str">
        <f t="shared" si="3"/>
        <v>Frustration</v>
      </c>
      <c r="G42" t="str">
        <f t="shared" si="4"/>
        <v>Performance</v>
      </c>
      <c r="H42" t="str">
        <f t="shared" si="5"/>
        <v>Temporal Demand</v>
      </c>
      <c r="I42" t="str">
        <f t="shared" si="6"/>
        <v>Performance</v>
      </c>
      <c r="J42" t="str">
        <f t="shared" si="7"/>
        <v>Temporal Demand</v>
      </c>
      <c r="K42" t="str">
        <f t="shared" si="8"/>
        <v>Effort</v>
      </c>
      <c r="L42" t="str">
        <f t="shared" si="9"/>
        <v>Mental Demand</v>
      </c>
      <c r="M42" t="str">
        <f t="shared" si="10"/>
        <v>Temporal Demand</v>
      </c>
      <c r="N42" t="str">
        <f t="shared" si="11"/>
        <v>Mental Demand</v>
      </c>
      <c r="O42" t="str">
        <f t="shared" si="12"/>
        <v>Mental Demand</v>
      </c>
      <c r="P42" t="str">
        <f t="shared" si="13"/>
        <v>Effort</v>
      </c>
      <c r="Q42" t="str">
        <f t="shared" si="14"/>
        <v>Mental Demand</v>
      </c>
      <c r="R42">
        <f t="shared" si="15"/>
        <v>4</v>
      </c>
      <c r="S42">
        <f t="shared" si="16"/>
        <v>0</v>
      </c>
      <c r="T42">
        <f t="shared" si="17"/>
        <v>4</v>
      </c>
      <c r="U42">
        <f t="shared" si="18"/>
        <v>2</v>
      </c>
      <c r="V42">
        <f t="shared" si="19"/>
        <v>4</v>
      </c>
      <c r="W42">
        <f t="shared" si="20"/>
        <v>1</v>
      </c>
      <c r="X42">
        <f t="shared" si="21"/>
        <v>15</v>
      </c>
    </row>
    <row r="43" spans="1:24" x14ac:dyDescent="0.25">
      <c r="A43" s="1">
        <v>12</v>
      </c>
      <c r="B43" s="1" t="s">
        <v>27</v>
      </c>
      <c r="C43" t="str">
        <f t="shared" si="0"/>
        <v>Effort</v>
      </c>
      <c r="D43" t="str">
        <f t="shared" si="1"/>
        <v>Frustration</v>
      </c>
      <c r="E43" t="str">
        <f t="shared" si="2"/>
        <v>Effort</v>
      </c>
      <c r="F43" t="str">
        <f t="shared" si="3"/>
        <v>Frustration</v>
      </c>
      <c r="G43" t="str">
        <f t="shared" si="4"/>
        <v>Performance</v>
      </c>
      <c r="H43" t="str">
        <f t="shared" si="5"/>
        <v>Temporal Demand</v>
      </c>
      <c r="I43" t="str">
        <f t="shared" si="6"/>
        <v>Performance</v>
      </c>
      <c r="J43" t="str">
        <f t="shared" si="7"/>
        <v>Mental Demand</v>
      </c>
      <c r="K43" t="str">
        <f t="shared" si="8"/>
        <v>Effort</v>
      </c>
      <c r="L43" t="str">
        <f t="shared" si="9"/>
        <v>Performance</v>
      </c>
      <c r="M43" t="str">
        <f t="shared" si="10"/>
        <v>Performance</v>
      </c>
      <c r="N43" t="str">
        <f t="shared" si="11"/>
        <v>Mental Demand</v>
      </c>
      <c r="O43" t="str">
        <f t="shared" si="12"/>
        <v>Mental Demand</v>
      </c>
      <c r="P43" t="str">
        <f t="shared" si="13"/>
        <v>Effort</v>
      </c>
      <c r="Q43" t="str">
        <f t="shared" si="14"/>
        <v>Mental Demand</v>
      </c>
      <c r="R43">
        <f t="shared" si="15"/>
        <v>4</v>
      </c>
      <c r="S43">
        <f t="shared" si="16"/>
        <v>0</v>
      </c>
      <c r="T43">
        <f t="shared" si="17"/>
        <v>1</v>
      </c>
      <c r="U43">
        <f t="shared" si="18"/>
        <v>4</v>
      </c>
      <c r="V43">
        <f t="shared" si="19"/>
        <v>4</v>
      </c>
      <c r="W43">
        <f t="shared" si="20"/>
        <v>2</v>
      </c>
      <c r="X43">
        <f t="shared" si="21"/>
        <v>15</v>
      </c>
    </row>
    <row r="44" spans="1:24" x14ac:dyDescent="0.25">
      <c r="A44" s="1">
        <v>13</v>
      </c>
      <c r="B44" s="1" t="s">
        <v>27</v>
      </c>
      <c r="C44" t="str">
        <f t="shared" si="0"/>
        <v>Effort</v>
      </c>
      <c r="D44" t="str">
        <f t="shared" si="1"/>
        <v>Temporal Demand</v>
      </c>
      <c r="E44" t="str">
        <f t="shared" si="2"/>
        <v>Temporal Demand</v>
      </c>
      <c r="F44" t="str">
        <f t="shared" si="3"/>
        <v>Frustration</v>
      </c>
      <c r="G44" t="str">
        <f t="shared" si="4"/>
        <v>Frustration</v>
      </c>
      <c r="H44" t="str">
        <f t="shared" si="5"/>
        <v>Physical Demand</v>
      </c>
      <c r="I44" t="str">
        <f t="shared" si="6"/>
        <v>Physical Demand</v>
      </c>
      <c r="J44" t="str">
        <f t="shared" si="7"/>
        <v>Temporal Demand</v>
      </c>
      <c r="K44" t="str">
        <f t="shared" si="8"/>
        <v>Effort</v>
      </c>
      <c r="L44" t="str">
        <f t="shared" si="9"/>
        <v>Mental Demand</v>
      </c>
      <c r="M44" t="str">
        <f t="shared" si="10"/>
        <v>Temporal Demand</v>
      </c>
      <c r="N44" t="str">
        <f t="shared" si="11"/>
        <v>Mental Demand</v>
      </c>
      <c r="O44" t="str">
        <f t="shared" si="12"/>
        <v>Mental Demand</v>
      </c>
      <c r="P44" t="str">
        <f t="shared" si="13"/>
        <v>Effort</v>
      </c>
      <c r="Q44" t="str">
        <f t="shared" si="14"/>
        <v>Frustration</v>
      </c>
      <c r="R44">
        <f t="shared" si="15"/>
        <v>3</v>
      </c>
      <c r="S44">
        <f t="shared" si="16"/>
        <v>2</v>
      </c>
      <c r="T44">
        <f t="shared" si="17"/>
        <v>4</v>
      </c>
      <c r="U44">
        <f t="shared" si="18"/>
        <v>0</v>
      </c>
      <c r="V44">
        <f t="shared" si="19"/>
        <v>3</v>
      </c>
      <c r="W44">
        <f t="shared" si="20"/>
        <v>3</v>
      </c>
      <c r="X44">
        <f t="shared" si="21"/>
        <v>15</v>
      </c>
    </row>
    <row r="45" spans="1:24" x14ac:dyDescent="0.25">
      <c r="A45" s="1">
        <v>14</v>
      </c>
      <c r="B45" s="1" t="s">
        <v>27</v>
      </c>
      <c r="C45" t="str">
        <f t="shared" si="0"/>
        <v>Effort</v>
      </c>
      <c r="D45" t="str">
        <f t="shared" si="1"/>
        <v>Frustration</v>
      </c>
      <c r="E45" t="str">
        <f t="shared" si="2"/>
        <v>Effort</v>
      </c>
      <c r="F45" t="str">
        <f t="shared" si="3"/>
        <v>Frustration</v>
      </c>
      <c r="G45" t="str">
        <f t="shared" si="4"/>
        <v>Frustration</v>
      </c>
      <c r="H45" t="str">
        <f t="shared" si="5"/>
        <v>Temporal Demand</v>
      </c>
      <c r="I45" t="str">
        <f t="shared" si="6"/>
        <v>Performance</v>
      </c>
      <c r="J45" t="str">
        <f t="shared" si="7"/>
        <v>Mental Demand</v>
      </c>
      <c r="K45" t="str">
        <f t="shared" si="8"/>
        <v>Frustration</v>
      </c>
      <c r="L45" t="str">
        <f t="shared" si="9"/>
        <v>Mental Demand</v>
      </c>
      <c r="M45" t="str">
        <f t="shared" si="10"/>
        <v>Temporal Demand</v>
      </c>
      <c r="N45" t="str">
        <f t="shared" si="11"/>
        <v>Mental Demand</v>
      </c>
      <c r="O45" t="str">
        <f t="shared" si="12"/>
        <v>Physical Demand</v>
      </c>
      <c r="P45" t="str">
        <f t="shared" si="13"/>
        <v>Effort</v>
      </c>
      <c r="Q45" t="str">
        <f t="shared" si="14"/>
        <v>Frustration</v>
      </c>
      <c r="R45">
        <f t="shared" si="15"/>
        <v>3</v>
      </c>
      <c r="S45">
        <f t="shared" si="16"/>
        <v>1</v>
      </c>
      <c r="T45">
        <f t="shared" si="17"/>
        <v>2</v>
      </c>
      <c r="U45">
        <f t="shared" si="18"/>
        <v>1</v>
      </c>
      <c r="V45">
        <f t="shared" si="19"/>
        <v>3</v>
      </c>
      <c r="W45">
        <f t="shared" si="20"/>
        <v>5</v>
      </c>
      <c r="X45">
        <f t="shared" si="21"/>
        <v>15</v>
      </c>
    </row>
    <row r="46" spans="1:24" x14ac:dyDescent="0.25">
      <c r="A46" s="1">
        <v>15</v>
      </c>
      <c r="B46" s="1" t="s">
        <v>27</v>
      </c>
      <c r="C46" t="str">
        <f t="shared" si="0"/>
        <v>Effort</v>
      </c>
      <c r="D46" t="str">
        <f t="shared" si="1"/>
        <v>Temporal Demand</v>
      </c>
      <c r="E46" t="str">
        <f t="shared" si="2"/>
        <v>Temporal Demand</v>
      </c>
      <c r="F46" t="str">
        <f t="shared" si="3"/>
        <v>Physical Demand</v>
      </c>
      <c r="G46" t="str">
        <f t="shared" si="4"/>
        <v>Performance</v>
      </c>
      <c r="H46" t="str">
        <f t="shared" si="5"/>
        <v>Temporal Demand</v>
      </c>
      <c r="I46" t="str">
        <f t="shared" si="6"/>
        <v>Physical Demand</v>
      </c>
      <c r="J46" t="str">
        <f t="shared" si="7"/>
        <v>Temporal Demand</v>
      </c>
      <c r="K46" t="str">
        <f t="shared" si="8"/>
        <v>Effort</v>
      </c>
      <c r="L46" t="str">
        <f t="shared" si="9"/>
        <v>Performance</v>
      </c>
      <c r="M46" t="str">
        <f t="shared" si="10"/>
        <v>Temporal Demand</v>
      </c>
      <c r="N46" t="str">
        <f t="shared" si="11"/>
        <v>Effort</v>
      </c>
      <c r="O46" t="str">
        <f t="shared" si="12"/>
        <v>Physical Demand</v>
      </c>
      <c r="P46" t="str">
        <f t="shared" si="13"/>
        <v>Physical Demand</v>
      </c>
      <c r="Q46" t="str">
        <f t="shared" si="14"/>
        <v>Frustration</v>
      </c>
      <c r="R46">
        <f t="shared" si="15"/>
        <v>0</v>
      </c>
      <c r="S46">
        <f t="shared" si="16"/>
        <v>4</v>
      </c>
      <c r="T46">
        <f t="shared" si="17"/>
        <v>5</v>
      </c>
      <c r="U46">
        <f t="shared" si="18"/>
        <v>2</v>
      </c>
      <c r="V46">
        <f t="shared" si="19"/>
        <v>3</v>
      </c>
      <c r="W46">
        <f t="shared" si="20"/>
        <v>1</v>
      </c>
      <c r="X46">
        <f t="shared" si="21"/>
        <v>15</v>
      </c>
    </row>
    <row r="47" spans="1:24" x14ac:dyDescent="0.25">
      <c r="A47" s="1">
        <v>16</v>
      </c>
      <c r="B47" s="1" t="s">
        <v>27</v>
      </c>
      <c r="C47" t="str">
        <f t="shared" si="0"/>
        <v>Effort</v>
      </c>
      <c r="D47" t="str">
        <f t="shared" si="1"/>
        <v>Frustration</v>
      </c>
      <c r="E47" t="str">
        <f t="shared" si="2"/>
        <v>Effort</v>
      </c>
      <c r="F47" t="str">
        <f t="shared" si="3"/>
        <v>Physical Demand</v>
      </c>
      <c r="G47" t="str">
        <f t="shared" si="4"/>
        <v>Performance</v>
      </c>
      <c r="H47" t="str">
        <f t="shared" si="5"/>
        <v>Physical Demand</v>
      </c>
      <c r="I47" t="str">
        <f t="shared" si="6"/>
        <v>Physical Demand</v>
      </c>
      <c r="J47" t="str">
        <f t="shared" si="7"/>
        <v>Mental Demand</v>
      </c>
      <c r="K47" t="str">
        <f t="shared" si="8"/>
        <v>Effort</v>
      </c>
      <c r="L47" t="str">
        <f t="shared" si="9"/>
        <v>Mental Demand</v>
      </c>
      <c r="M47" t="str">
        <f t="shared" si="10"/>
        <v>Performance</v>
      </c>
      <c r="N47" t="str">
        <f t="shared" si="11"/>
        <v>Effort</v>
      </c>
      <c r="O47" t="str">
        <f t="shared" si="12"/>
        <v>Mental Demand</v>
      </c>
      <c r="P47" t="str">
        <f t="shared" si="13"/>
        <v>Effort</v>
      </c>
      <c r="Q47" t="str">
        <f t="shared" si="14"/>
        <v>Mental Demand</v>
      </c>
      <c r="R47">
        <f t="shared" si="15"/>
        <v>4</v>
      </c>
      <c r="S47">
        <f t="shared" si="16"/>
        <v>3</v>
      </c>
      <c r="T47">
        <f t="shared" si="17"/>
        <v>0</v>
      </c>
      <c r="U47">
        <f t="shared" si="18"/>
        <v>2</v>
      </c>
      <c r="V47">
        <f t="shared" si="19"/>
        <v>5</v>
      </c>
      <c r="W47">
        <f t="shared" si="20"/>
        <v>1</v>
      </c>
      <c r="X47">
        <f t="shared" si="21"/>
        <v>15</v>
      </c>
    </row>
    <row r="48" spans="1:24" x14ac:dyDescent="0.25">
      <c r="A48" s="1">
        <v>17</v>
      </c>
      <c r="B48" s="1" t="s">
        <v>27</v>
      </c>
      <c r="C48" t="str">
        <f t="shared" si="0"/>
        <v>Effort</v>
      </c>
      <c r="D48" t="str">
        <f t="shared" si="1"/>
        <v>Frustration</v>
      </c>
      <c r="E48" t="str">
        <f t="shared" si="2"/>
        <v>Temporal Demand</v>
      </c>
      <c r="F48" t="str">
        <f t="shared" si="3"/>
        <v>Frustration</v>
      </c>
      <c r="G48" t="str">
        <f t="shared" si="4"/>
        <v>Performance</v>
      </c>
      <c r="H48" t="str">
        <f t="shared" si="5"/>
        <v>Temporal Demand</v>
      </c>
      <c r="I48" t="str">
        <f t="shared" si="6"/>
        <v>Performance</v>
      </c>
      <c r="J48" t="str">
        <f t="shared" si="7"/>
        <v>Mental Demand</v>
      </c>
      <c r="K48" t="str">
        <f t="shared" si="8"/>
        <v>Frustration</v>
      </c>
      <c r="L48" t="str">
        <f t="shared" si="9"/>
        <v>Mental Demand</v>
      </c>
      <c r="M48" t="str">
        <f t="shared" si="10"/>
        <v>Performance</v>
      </c>
      <c r="N48" t="str">
        <f t="shared" si="11"/>
        <v>Mental Demand</v>
      </c>
      <c r="O48" t="str">
        <f t="shared" si="12"/>
        <v>Mental Demand</v>
      </c>
      <c r="P48" t="str">
        <f t="shared" si="13"/>
        <v>Effort</v>
      </c>
      <c r="Q48" t="str">
        <f t="shared" si="14"/>
        <v>Mental Demand</v>
      </c>
      <c r="R48">
        <f t="shared" si="15"/>
        <v>5</v>
      </c>
      <c r="S48">
        <f t="shared" si="16"/>
        <v>0</v>
      </c>
      <c r="T48">
        <f t="shared" si="17"/>
        <v>2</v>
      </c>
      <c r="U48">
        <f t="shared" si="18"/>
        <v>3</v>
      </c>
      <c r="V48">
        <f t="shared" si="19"/>
        <v>2</v>
      </c>
      <c r="W48">
        <f t="shared" si="20"/>
        <v>3</v>
      </c>
      <c r="X48">
        <f t="shared" si="21"/>
        <v>15</v>
      </c>
    </row>
    <row r="49" spans="1:24" x14ac:dyDescent="0.25">
      <c r="A49" s="1">
        <v>18</v>
      </c>
      <c r="B49" s="1" t="s">
        <v>27</v>
      </c>
      <c r="C49" t="str">
        <f t="shared" si="0"/>
        <v>Performance</v>
      </c>
      <c r="D49" t="str">
        <f t="shared" si="1"/>
        <v>Temporal Demand</v>
      </c>
      <c r="E49" t="str">
        <f t="shared" si="2"/>
        <v>Temporal Demand</v>
      </c>
      <c r="F49" t="str">
        <f t="shared" si="3"/>
        <v>Physical Demand</v>
      </c>
      <c r="G49" t="str">
        <f t="shared" si="4"/>
        <v>Frustration</v>
      </c>
      <c r="H49" t="str">
        <f t="shared" si="5"/>
        <v>Physical Demand</v>
      </c>
      <c r="I49" t="str">
        <f t="shared" si="6"/>
        <v>Performance</v>
      </c>
      <c r="J49" t="str">
        <f t="shared" si="7"/>
        <v>Temporal Demand</v>
      </c>
      <c r="K49" t="str">
        <f t="shared" si="8"/>
        <v>Frustration</v>
      </c>
      <c r="L49" t="str">
        <f t="shared" si="9"/>
        <v>Mental Demand</v>
      </c>
      <c r="M49" t="str">
        <f t="shared" si="10"/>
        <v>Temporal Demand</v>
      </c>
      <c r="N49" t="str">
        <f t="shared" si="11"/>
        <v>Effort</v>
      </c>
      <c r="O49" t="str">
        <f t="shared" si="12"/>
        <v>Mental Demand</v>
      </c>
      <c r="P49" t="str">
        <f t="shared" si="13"/>
        <v>Physical Demand</v>
      </c>
      <c r="Q49" t="str">
        <f t="shared" si="14"/>
        <v>Mental Demand</v>
      </c>
      <c r="R49">
        <f t="shared" si="15"/>
        <v>3</v>
      </c>
      <c r="S49">
        <f t="shared" si="16"/>
        <v>3</v>
      </c>
      <c r="T49">
        <f t="shared" si="17"/>
        <v>4</v>
      </c>
      <c r="U49">
        <f t="shared" si="18"/>
        <v>2</v>
      </c>
      <c r="V49">
        <f t="shared" si="19"/>
        <v>1</v>
      </c>
      <c r="W49">
        <f t="shared" si="20"/>
        <v>2</v>
      </c>
      <c r="X49">
        <f t="shared" si="21"/>
        <v>15</v>
      </c>
    </row>
    <row r="50" spans="1:24" x14ac:dyDescent="0.25">
      <c r="A50" s="1">
        <v>19</v>
      </c>
      <c r="B50" s="1" t="s">
        <v>27</v>
      </c>
      <c r="C50" t="str">
        <f t="shared" si="0"/>
        <v>Performance</v>
      </c>
      <c r="D50" t="str">
        <f t="shared" si="1"/>
        <v>Temporal Demand</v>
      </c>
      <c r="E50" t="str">
        <f t="shared" si="2"/>
        <v>Effort</v>
      </c>
      <c r="F50" t="str">
        <f t="shared" si="3"/>
        <v>Physical Demand</v>
      </c>
      <c r="G50" t="str">
        <f t="shared" si="4"/>
        <v>Performance</v>
      </c>
      <c r="H50" t="str">
        <f t="shared" si="5"/>
        <v>Physical Demand</v>
      </c>
      <c r="I50" t="str">
        <f t="shared" si="6"/>
        <v>Physical Demand</v>
      </c>
      <c r="J50" t="str">
        <f t="shared" si="7"/>
        <v>Mental Demand</v>
      </c>
      <c r="K50" t="str">
        <f t="shared" si="8"/>
        <v>Effort</v>
      </c>
      <c r="L50" t="str">
        <f t="shared" si="9"/>
        <v>Performance</v>
      </c>
      <c r="M50" t="str">
        <f t="shared" si="10"/>
        <v>Performance</v>
      </c>
      <c r="N50" t="str">
        <f t="shared" si="11"/>
        <v>Mental Demand</v>
      </c>
      <c r="O50" t="str">
        <f t="shared" si="12"/>
        <v>Mental Demand</v>
      </c>
      <c r="P50" t="str">
        <f t="shared" si="13"/>
        <v>Physical Demand</v>
      </c>
      <c r="Q50" t="str">
        <f t="shared" si="14"/>
        <v>Mental Demand</v>
      </c>
      <c r="R50">
        <f t="shared" si="15"/>
        <v>4</v>
      </c>
      <c r="S50">
        <f t="shared" si="16"/>
        <v>4</v>
      </c>
      <c r="T50">
        <f t="shared" si="17"/>
        <v>1</v>
      </c>
      <c r="U50">
        <f t="shared" si="18"/>
        <v>4</v>
      </c>
      <c r="V50">
        <f t="shared" si="19"/>
        <v>2</v>
      </c>
      <c r="W50">
        <f t="shared" si="20"/>
        <v>0</v>
      </c>
      <c r="X50">
        <f t="shared" si="21"/>
        <v>15</v>
      </c>
    </row>
    <row r="51" spans="1:24" x14ac:dyDescent="0.25">
      <c r="A51" s="1">
        <v>20</v>
      </c>
      <c r="B51" s="1" t="s">
        <v>27</v>
      </c>
      <c r="C51" t="str">
        <f t="shared" si="0"/>
        <v>Performance</v>
      </c>
      <c r="D51" t="str">
        <f t="shared" si="1"/>
        <v>Temporal Demand</v>
      </c>
      <c r="E51" t="str">
        <f t="shared" si="2"/>
        <v>Effort</v>
      </c>
      <c r="F51" t="str">
        <f t="shared" si="3"/>
        <v>Physical Demand</v>
      </c>
      <c r="G51" t="str">
        <f t="shared" si="4"/>
        <v>Performance</v>
      </c>
      <c r="H51" t="str">
        <f t="shared" si="5"/>
        <v>Temporal Demand</v>
      </c>
      <c r="I51" t="str">
        <f t="shared" si="6"/>
        <v>Performance</v>
      </c>
      <c r="J51" t="str">
        <f t="shared" si="7"/>
        <v>Mental Demand</v>
      </c>
      <c r="K51" t="str">
        <f t="shared" si="8"/>
        <v>Effort</v>
      </c>
      <c r="L51" t="str">
        <f t="shared" si="9"/>
        <v>Performance</v>
      </c>
      <c r="M51" t="str">
        <f t="shared" si="10"/>
        <v>Performance</v>
      </c>
      <c r="N51" t="str">
        <f t="shared" si="11"/>
        <v>Effort</v>
      </c>
      <c r="O51" t="str">
        <f t="shared" si="12"/>
        <v>Physical Demand</v>
      </c>
      <c r="P51" t="str">
        <f t="shared" si="13"/>
        <v>Effort</v>
      </c>
      <c r="Q51" t="str">
        <f t="shared" si="14"/>
        <v>Mental Demand</v>
      </c>
      <c r="R51">
        <f t="shared" si="15"/>
        <v>2</v>
      </c>
      <c r="S51">
        <f t="shared" si="16"/>
        <v>2</v>
      </c>
      <c r="T51">
        <f t="shared" si="17"/>
        <v>2</v>
      </c>
      <c r="U51">
        <f t="shared" si="18"/>
        <v>5</v>
      </c>
      <c r="V51">
        <f t="shared" si="19"/>
        <v>4</v>
      </c>
      <c r="W51">
        <f t="shared" si="20"/>
        <v>0</v>
      </c>
      <c r="X51">
        <f t="shared" si="21"/>
        <v>15</v>
      </c>
    </row>
    <row r="52" spans="1:24" x14ac:dyDescent="0.25">
      <c r="A52" s="1">
        <v>21</v>
      </c>
      <c r="B52" s="1" t="s">
        <v>27</v>
      </c>
      <c r="C52" t="str">
        <f t="shared" si="0"/>
        <v>Effort</v>
      </c>
      <c r="D52" t="str">
        <f t="shared" si="1"/>
        <v>Temporal Demand</v>
      </c>
      <c r="E52" t="str">
        <f t="shared" si="2"/>
        <v>Temporal Demand</v>
      </c>
      <c r="F52" t="str">
        <f t="shared" si="3"/>
        <v>Physical Demand</v>
      </c>
      <c r="G52" t="str">
        <f t="shared" si="4"/>
        <v>Performance</v>
      </c>
      <c r="H52" t="str">
        <f t="shared" si="5"/>
        <v>Physical Demand</v>
      </c>
      <c r="I52" t="str">
        <f t="shared" si="6"/>
        <v>Physical Demand</v>
      </c>
      <c r="J52" t="str">
        <f t="shared" si="7"/>
        <v>Mental Demand</v>
      </c>
      <c r="K52" t="str">
        <f t="shared" si="8"/>
        <v>Effort</v>
      </c>
      <c r="L52" t="str">
        <f t="shared" si="9"/>
        <v>Performance</v>
      </c>
      <c r="M52" t="str">
        <f t="shared" si="10"/>
        <v>Temporal Demand</v>
      </c>
      <c r="N52" t="str">
        <f t="shared" si="11"/>
        <v>Mental Demand</v>
      </c>
      <c r="O52" t="str">
        <f t="shared" si="12"/>
        <v>Physical Demand</v>
      </c>
      <c r="P52" t="str">
        <f t="shared" si="13"/>
        <v>Effort</v>
      </c>
      <c r="Q52" t="str">
        <f t="shared" si="14"/>
        <v>Mental Demand</v>
      </c>
      <c r="R52">
        <f t="shared" si="15"/>
        <v>3</v>
      </c>
      <c r="S52">
        <f t="shared" si="16"/>
        <v>4</v>
      </c>
      <c r="T52">
        <f t="shared" si="17"/>
        <v>3</v>
      </c>
      <c r="U52">
        <f t="shared" si="18"/>
        <v>2</v>
      </c>
      <c r="V52">
        <f t="shared" si="19"/>
        <v>3</v>
      </c>
      <c r="W52">
        <f t="shared" si="20"/>
        <v>0</v>
      </c>
      <c r="X52">
        <f t="shared" si="21"/>
        <v>15</v>
      </c>
    </row>
    <row r="53" spans="1:24" x14ac:dyDescent="0.25">
      <c r="A53" s="1">
        <v>23</v>
      </c>
      <c r="B53" s="1" t="s">
        <v>27</v>
      </c>
      <c r="C53" t="str">
        <f t="shared" si="0"/>
        <v>Effort</v>
      </c>
      <c r="D53" t="str">
        <f t="shared" si="1"/>
        <v>Temporal Demand</v>
      </c>
      <c r="E53" t="str">
        <f t="shared" si="2"/>
        <v>Temporal Demand</v>
      </c>
      <c r="F53" t="str">
        <f t="shared" si="3"/>
        <v>Physical Demand</v>
      </c>
      <c r="G53" t="str">
        <f t="shared" si="4"/>
        <v>Performance</v>
      </c>
      <c r="H53" t="str">
        <f t="shared" si="5"/>
        <v>Temporal Demand</v>
      </c>
      <c r="I53" t="str">
        <f t="shared" si="6"/>
        <v>Performance</v>
      </c>
      <c r="J53" t="str">
        <f t="shared" si="7"/>
        <v>Temporal Demand</v>
      </c>
      <c r="K53" t="str">
        <f t="shared" si="8"/>
        <v>Effort</v>
      </c>
      <c r="L53" t="str">
        <f t="shared" si="9"/>
        <v>Performance</v>
      </c>
      <c r="M53" t="str">
        <f t="shared" si="10"/>
        <v>Temporal Demand</v>
      </c>
      <c r="N53" t="str">
        <f t="shared" si="11"/>
        <v>Effort</v>
      </c>
      <c r="O53" t="str">
        <f t="shared" si="12"/>
        <v>Mental Demand</v>
      </c>
      <c r="P53" t="str">
        <f t="shared" si="13"/>
        <v>Effort</v>
      </c>
      <c r="Q53" t="str">
        <f t="shared" si="14"/>
        <v>Mental Demand</v>
      </c>
      <c r="R53">
        <f t="shared" si="15"/>
        <v>2</v>
      </c>
      <c r="S53">
        <f t="shared" si="16"/>
        <v>1</v>
      </c>
      <c r="T53">
        <f t="shared" si="17"/>
        <v>5</v>
      </c>
      <c r="U53">
        <f t="shared" si="18"/>
        <v>3</v>
      </c>
      <c r="V53">
        <f t="shared" si="19"/>
        <v>4</v>
      </c>
      <c r="W53">
        <f t="shared" si="20"/>
        <v>0</v>
      </c>
      <c r="X53">
        <f t="shared" si="21"/>
        <v>15</v>
      </c>
    </row>
    <row r="54" spans="1:24" x14ac:dyDescent="0.25">
      <c r="A54" s="1">
        <v>24</v>
      </c>
      <c r="B54" s="1" t="s">
        <v>27</v>
      </c>
      <c r="C54" t="str">
        <f t="shared" si="0"/>
        <v>Performance</v>
      </c>
      <c r="D54" t="str">
        <f t="shared" si="1"/>
        <v>Temporal Demand</v>
      </c>
      <c r="E54" t="str">
        <f t="shared" si="2"/>
        <v>Temporal Demand</v>
      </c>
      <c r="F54" t="str">
        <f t="shared" si="3"/>
        <v>Frustration</v>
      </c>
      <c r="G54" t="str">
        <f t="shared" si="4"/>
        <v>Performance</v>
      </c>
      <c r="H54" t="str">
        <f t="shared" si="5"/>
        <v>Temporal Demand</v>
      </c>
      <c r="I54" t="str">
        <f t="shared" si="6"/>
        <v>Performance</v>
      </c>
      <c r="J54" t="str">
        <f t="shared" si="7"/>
        <v>Temporal Demand</v>
      </c>
      <c r="K54" t="str">
        <f t="shared" si="8"/>
        <v>Effort</v>
      </c>
      <c r="L54" t="str">
        <f t="shared" si="9"/>
        <v>Mental Demand</v>
      </c>
      <c r="M54" t="str">
        <f t="shared" si="10"/>
        <v>Performance</v>
      </c>
      <c r="N54" t="str">
        <f t="shared" si="11"/>
        <v>Mental Demand</v>
      </c>
      <c r="O54" t="str">
        <f t="shared" si="12"/>
        <v>Mental Demand</v>
      </c>
      <c r="P54" t="str">
        <f t="shared" si="13"/>
        <v>Effort</v>
      </c>
      <c r="Q54" t="str">
        <f t="shared" si="14"/>
        <v>Mental Demand</v>
      </c>
      <c r="R54">
        <f t="shared" si="15"/>
        <v>4</v>
      </c>
      <c r="S54">
        <f t="shared" si="16"/>
        <v>0</v>
      </c>
      <c r="T54">
        <f t="shared" si="17"/>
        <v>4</v>
      </c>
      <c r="U54">
        <f t="shared" si="18"/>
        <v>4</v>
      </c>
      <c r="V54">
        <f t="shared" si="19"/>
        <v>2</v>
      </c>
      <c r="W54">
        <f t="shared" si="20"/>
        <v>1</v>
      </c>
      <c r="X54">
        <f t="shared" si="21"/>
        <v>15</v>
      </c>
    </row>
    <row r="55" spans="1:24" x14ac:dyDescent="0.25">
      <c r="A55" s="1">
        <v>25</v>
      </c>
      <c r="B55" s="1" t="s">
        <v>27</v>
      </c>
      <c r="C55" t="str">
        <f t="shared" si="0"/>
        <v>Effort</v>
      </c>
      <c r="D55" t="str">
        <f t="shared" si="1"/>
        <v>Temporal Demand</v>
      </c>
      <c r="E55" t="str">
        <f t="shared" si="2"/>
        <v>Temporal Demand</v>
      </c>
      <c r="F55" t="str">
        <f t="shared" si="3"/>
        <v>Physical Demand</v>
      </c>
      <c r="G55" t="str">
        <f t="shared" si="4"/>
        <v>Performance</v>
      </c>
      <c r="H55" t="str">
        <f t="shared" si="5"/>
        <v>Physical Demand</v>
      </c>
      <c r="I55" t="str">
        <f t="shared" si="6"/>
        <v>Physical Demand</v>
      </c>
      <c r="J55" t="str">
        <f t="shared" si="7"/>
        <v>Mental Demand</v>
      </c>
      <c r="K55" t="str">
        <f t="shared" si="8"/>
        <v>Effort</v>
      </c>
      <c r="L55" t="str">
        <f t="shared" si="9"/>
        <v>Mental Demand</v>
      </c>
      <c r="M55" t="str">
        <f t="shared" si="10"/>
        <v>Temporal Demand</v>
      </c>
      <c r="N55" t="str">
        <f t="shared" si="11"/>
        <v>Mental Demand</v>
      </c>
      <c r="O55" t="str">
        <f t="shared" si="12"/>
        <v>Mental Demand</v>
      </c>
      <c r="P55" t="str">
        <f t="shared" si="13"/>
        <v>Effort</v>
      </c>
      <c r="Q55" t="str">
        <f t="shared" si="14"/>
        <v>Mental Demand</v>
      </c>
      <c r="R55">
        <f t="shared" si="15"/>
        <v>5</v>
      </c>
      <c r="S55">
        <f t="shared" si="16"/>
        <v>3</v>
      </c>
      <c r="T55">
        <f t="shared" si="17"/>
        <v>3</v>
      </c>
      <c r="U55">
        <f t="shared" si="18"/>
        <v>1</v>
      </c>
      <c r="V55">
        <f t="shared" si="19"/>
        <v>3</v>
      </c>
      <c r="W55">
        <f t="shared" si="20"/>
        <v>0</v>
      </c>
      <c r="X55">
        <f t="shared" si="21"/>
        <v>15</v>
      </c>
    </row>
    <row r="56" spans="1:24" x14ac:dyDescent="0.25">
      <c r="A56" s="1">
        <v>26</v>
      </c>
      <c r="B56" s="1" t="s">
        <v>27</v>
      </c>
      <c r="C56" t="str">
        <f t="shared" si="0"/>
        <v>Effort</v>
      </c>
      <c r="D56" t="str">
        <f t="shared" si="1"/>
        <v>Temporal Demand</v>
      </c>
      <c r="E56" t="str">
        <f t="shared" si="2"/>
        <v>Effort</v>
      </c>
      <c r="F56" t="str">
        <f t="shared" si="3"/>
        <v>Frustration</v>
      </c>
      <c r="G56" t="str">
        <f t="shared" si="4"/>
        <v>Performance</v>
      </c>
      <c r="H56" t="str">
        <f t="shared" si="5"/>
        <v>Temporal Demand</v>
      </c>
      <c r="I56" t="str">
        <f t="shared" si="6"/>
        <v>Performance</v>
      </c>
      <c r="J56" t="str">
        <f t="shared" si="7"/>
        <v>Temporal Demand</v>
      </c>
      <c r="K56" t="str">
        <f t="shared" si="8"/>
        <v>Effort</v>
      </c>
      <c r="L56" t="str">
        <f t="shared" si="9"/>
        <v>Mental Demand</v>
      </c>
      <c r="M56" t="str">
        <f t="shared" si="10"/>
        <v>Temporal Demand</v>
      </c>
      <c r="N56" t="str">
        <f t="shared" si="11"/>
        <v>Mental Demand</v>
      </c>
      <c r="O56" t="str">
        <f t="shared" si="12"/>
        <v>Mental Demand</v>
      </c>
      <c r="P56" t="str">
        <f t="shared" si="13"/>
        <v>Effort</v>
      </c>
      <c r="Q56" t="str">
        <f t="shared" si="14"/>
        <v>Frustration</v>
      </c>
      <c r="R56">
        <f t="shared" si="15"/>
        <v>3</v>
      </c>
      <c r="S56">
        <f t="shared" si="16"/>
        <v>0</v>
      </c>
      <c r="T56">
        <f t="shared" si="17"/>
        <v>4</v>
      </c>
      <c r="U56">
        <f t="shared" si="18"/>
        <v>2</v>
      </c>
      <c r="V56">
        <f t="shared" si="19"/>
        <v>4</v>
      </c>
      <c r="W56">
        <f t="shared" si="20"/>
        <v>2</v>
      </c>
      <c r="X56">
        <f t="shared" si="21"/>
        <v>15</v>
      </c>
    </row>
    <row r="57" spans="1:24" x14ac:dyDescent="0.25">
      <c r="A57" s="1">
        <v>27</v>
      </c>
      <c r="B57" s="1" t="s">
        <v>27</v>
      </c>
      <c r="C57" t="str">
        <f t="shared" si="0"/>
        <v>Effort</v>
      </c>
      <c r="D57" t="str">
        <f t="shared" si="1"/>
        <v>Temporal Demand</v>
      </c>
      <c r="E57" t="str">
        <f t="shared" si="2"/>
        <v>Effort</v>
      </c>
      <c r="F57" t="str">
        <f t="shared" si="3"/>
        <v>Physical Demand</v>
      </c>
      <c r="G57" t="str">
        <f t="shared" si="4"/>
        <v>Performance</v>
      </c>
      <c r="H57" t="str">
        <f t="shared" si="5"/>
        <v>Physical Demand</v>
      </c>
      <c r="I57" t="str">
        <f t="shared" si="6"/>
        <v>Performance</v>
      </c>
      <c r="J57" t="str">
        <f t="shared" si="7"/>
        <v>Mental Demand</v>
      </c>
      <c r="K57" t="str">
        <f t="shared" si="8"/>
        <v>Effort</v>
      </c>
      <c r="L57" t="str">
        <f t="shared" si="9"/>
        <v>Mental Demand</v>
      </c>
      <c r="M57" t="str">
        <f t="shared" si="10"/>
        <v>Performance</v>
      </c>
      <c r="N57" t="str">
        <f t="shared" si="11"/>
        <v>Mental Demand</v>
      </c>
      <c r="O57" t="str">
        <f t="shared" si="12"/>
        <v>Mental Demand</v>
      </c>
      <c r="P57" t="str">
        <f t="shared" si="13"/>
        <v>Effort</v>
      </c>
      <c r="Q57" t="str">
        <f t="shared" si="14"/>
        <v>Mental Demand</v>
      </c>
      <c r="R57">
        <f t="shared" si="15"/>
        <v>5</v>
      </c>
      <c r="S57">
        <f t="shared" si="16"/>
        <v>2</v>
      </c>
      <c r="T57">
        <f t="shared" si="17"/>
        <v>1</v>
      </c>
      <c r="U57">
        <f t="shared" si="18"/>
        <v>3</v>
      </c>
      <c r="V57">
        <f t="shared" si="19"/>
        <v>4</v>
      </c>
      <c r="W57">
        <f t="shared" si="20"/>
        <v>0</v>
      </c>
      <c r="X57">
        <f t="shared" si="21"/>
        <v>15</v>
      </c>
    </row>
    <row r="58" spans="1:24" x14ac:dyDescent="0.25">
      <c r="A58" s="1">
        <v>22</v>
      </c>
      <c r="B58" s="1" t="s">
        <v>27</v>
      </c>
      <c r="C58" t="str">
        <f t="shared" si="0"/>
        <v>Performance</v>
      </c>
      <c r="D58" t="str">
        <f t="shared" si="1"/>
        <v>Temporal Demand</v>
      </c>
      <c r="E58" t="str">
        <f t="shared" si="2"/>
        <v>Effort</v>
      </c>
      <c r="F58" t="str">
        <f t="shared" si="3"/>
        <v>Physical Demand</v>
      </c>
      <c r="G58" t="str">
        <f t="shared" si="4"/>
        <v>Performance</v>
      </c>
      <c r="H58" t="str">
        <f t="shared" si="5"/>
        <v>Temporal Demand</v>
      </c>
      <c r="I58" t="str">
        <f t="shared" si="6"/>
        <v>Performance</v>
      </c>
      <c r="J58" t="str">
        <f t="shared" si="7"/>
        <v>Mental Demand</v>
      </c>
      <c r="K58" t="str">
        <f t="shared" si="8"/>
        <v>Effort</v>
      </c>
      <c r="L58" t="str">
        <f t="shared" si="9"/>
        <v>Performance</v>
      </c>
      <c r="M58" t="str">
        <f t="shared" si="10"/>
        <v>Performance</v>
      </c>
      <c r="N58" t="str">
        <f t="shared" si="11"/>
        <v>Mental Demand</v>
      </c>
      <c r="O58" t="str">
        <f t="shared" si="12"/>
        <v>Mental Demand</v>
      </c>
      <c r="P58" t="str">
        <f t="shared" si="13"/>
        <v>Effort</v>
      </c>
      <c r="Q58" t="str">
        <f t="shared" si="14"/>
        <v>Mental Demand</v>
      </c>
      <c r="R58">
        <f t="shared" si="15"/>
        <v>4</v>
      </c>
      <c r="S58">
        <f t="shared" si="16"/>
        <v>1</v>
      </c>
      <c r="T58">
        <f t="shared" si="17"/>
        <v>2</v>
      </c>
      <c r="U58">
        <f t="shared" si="18"/>
        <v>5</v>
      </c>
      <c r="V58">
        <f t="shared" si="19"/>
        <v>3</v>
      </c>
      <c r="W58">
        <f t="shared" si="20"/>
        <v>0</v>
      </c>
      <c r="X58">
        <f t="shared" si="21"/>
        <v>15</v>
      </c>
    </row>
    <row r="59" spans="1:24" x14ac:dyDescent="0.25">
      <c r="A59" s="1">
        <v>28</v>
      </c>
      <c r="B59" s="1" t="s">
        <v>27</v>
      </c>
      <c r="C59" t="str">
        <f t="shared" si="0"/>
        <v>Performance</v>
      </c>
      <c r="D59" t="str">
        <f t="shared" si="1"/>
        <v>Temporal Demand</v>
      </c>
      <c r="E59" t="str">
        <f t="shared" si="2"/>
        <v>Effort</v>
      </c>
      <c r="F59" t="str">
        <f t="shared" si="3"/>
        <v>Frustration</v>
      </c>
      <c r="G59" t="str">
        <f t="shared" si="4"/>
        <v>Performance</v>
      </c>
      <c r="H59" t="str">
        <f t="shared" si="5"/>
        <v>Temporal Demand</v>
      </c>
      <c r="I59" t="str">
        <f t="shared" si="6"/>
        <v>Performance</v>
      </c>
      <c r="J59" t="str">
        <f t="shared" si="7"/>
        <v>Temporal Demand</v>
      </c>
      <c r="K59" t="str">
        <f t="shared" si="8"/>
        <v>Frustration</v>
      </c>
      <c r="L59" t="str">
        <f t="shared" si="9"/>
        <v>Performance</v>
      </c>
      <c r="M59" t="str">
        <f t="shared" si="10"/>
        <v>Performance</v>
      </c>
      <c r="N59" t="str">
        <f t="shared" si="11"/>
        <v>Mental Demand</v>
      </c>
      <c r="O59" t="str">
        <f t="shared" si="12"/>
        <v>Mental Demand</v>
      </c>
      <c r="P59" t="str">
        <f t="shared" si="13"/>
        <v>Effort</v>
      </c>
      <c r="Q59" t="str">
        <f t="shared" si="14"/>
        <v>Mental Demand</v>
      </c>
      <c r="R59">
        <f t="shared" si="15"/>
        <v>3</v>
      </c>
      <c r="S59">
        <f t="shared" si="16"/>
        <v>0</v>
      </c>
      <c r="T59">
        <f t="shared" si="17"/>
        <v>3</v>
      </c>
      <c r="U59">
        <f t="shared" si="18"/>
        <v>5</v>
      </c>
      <c r="V59">
        <f t="shared" si="19"/>
        <v>2</v>
      </c>
      <c r="W59">
        <f t="shared" si="20"/>
        <v>2</v>
      </c>
      <c r="X59">
        <f t="shared" si="21"/>
        <v>15</v>
      </c>
    </row>
    <row r="60" spans="1:24" x14ac:dyDescent="0.25">
      <c r="A60" s="1">
        <v>29</v>
      </c>
      <c r="B60" s="1" t="s">
        <v>27</v>
      </c>
      <c r="C60" t="str">
        <f t="shared" si="0"/>
        <v>Performance</v>
      </c>
      <c r="D60" t="str">
        <f t="shared" si="1"/>
        <v>Temporal Demand</v>
      </c>
      <c r="E60" t="str">
        <f t="shared" si="2"/>
        <v>Effort</v>
      </c>
      <c r="F60" t="str">
        <f t="shared" si="3"/>
        <v>Frustration</v>
      </c>
      <c r="G60" t="str">
        <f t="shared" si="4"/>
        <v>Performance</v>
      </c>
      <c r="H60" t="str">
        <f t="shared" si="5"/>
        <v>Temporal Demand</v>
      </c>
      <c r="I60" t="str">
        <f t="shared" si="6"/>
        <v>Performance</v>
      </c>
      <c r="J60" t="str">
        <f t="shared" si="7"/>
        <v>Mental Demand</v>
      </c>
      <c r="K60" t="str">
        <f t="shared" si="8"/>
        <v>Frustration</v>
      </c>
      <c r="L60" t="str">
        <f t="shared" si="9"/>
        <v>Mental Demand</v>
      </c>
      <c r="M60" t="str">
        <f t="shared" si="10"/>
        <v>Performance</v>
      </c>
      <c r="N60" t="str">
        <f t="shared" si="11"/>
        <v>Effort</v>
      </c>
      <c r="O60" t="str">
        <f t="shared" si="12"/>
        <v>Mental Demand</v>
      </c>
      <c r="P60" t="str">
        <f t="shared" si="13"/>
        <v>Effort</v>
      </c>
      <c r="Q60" t="str">
        <f t="shared" si="14"/>
        <v>Mental Demand</v>
      </c>
      <c r="R60">
        <f t="shared" si="15"/>
        <v>4</v>
      </c>
      <c r="S60">
        <f t="shared" si="16"/>
        <v>0</v>
      </c>
      <c r="T60">
        <f t="shared" si="17"/>
        <v>2</v>
      </c>
      <c r="U60">
        <f t="shared" si="18"/>
        <v>4</v>
      </c>
      <c r="V60">
        <f t="shared" si="19"/>
        <v>3</v>
      </c>
      <c r="W60">
        <f t="shared" si="20"/>
        <v>2</v>
      </c>
      <c r="X60">
        <f t="shared" si="21"/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C9DA6-52BE-418F-A929-F16FF053E7F7}">
  <dimension ref="A1:AG59"/>
  <sheetViews>
    <sheetView topLeftCell="M25" workbookViewId="0">
      <selection activeCell="Y32" sqref="Y32"/>
    </sheetView>
  </sheetViews>
  <sheetFormatPr defaultRowHeight="12.5" x14ac:dyDescent="0.25"/>
  <cols>
    <col min="4" max="4" width="10.1796875" customWidth="1"/>
  </cols>
  <sheetData>
    <row r="1" spans="1:33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s="2"/>
      <c r="S1" s="2"/>
      <c r="T1" s="2"/>
      <c r="U1" s="2"/>
      <c r="V1" s="2"/>
      <c r="W1" s="2"/>
    </row>
    <row r="2" spans="1:33" x14ac:dyDescent="0.25">
      <c r="A2" s="1">
        <v>1</v>
      </c>
      <c r="B2" s="1" t="s">
        <v>28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  <c r="H2" s="1" t="s">
        <v>26</v>
      </c>
      <c r="I2" s="1" t="s">
        <v>26</v>
      </c>
      <c r="J2" s="1" t="s">
        <v>25</v>
      </c>
      <c r="K2" s="1" t="s">
        <v>26</v>
      </c>
      <c r="L2" s="1" t="s">
        <v>26</v>
      </c>
      <c r="M2" s="1" t="s">
        <v>26</v>
      </c>
      <c r="N2" s="1" t="s">
        <v>25</v>
      </c>
      <c r="O2" s="1" t="s">
        <v>25</v>
      </c>
      <c r="P2" s="1" t="s">
        <v>25</v>
      </c>
      <c r="Q2" s="1" t="s">
        <v>26</v>
      </c>
      <c r="AB2" s="1">
        <v>7</v>
      </c>
      <c r="AC2" s="1">
        <v>3</v>
      </c>
      <c r="AD2" s="1">
        <v>3</v>
      </c>
      <c r="AE2" s="1">
        <v>7</v>
      </c>
      <c r="AF2" s="1">
        <v>7</v>
      </c>
      <c r="AG2" s="1">
        <v>2</v>
      </c>
    </row>
    <row r="3" spans="1:33" x14ac:dyDescent="0.25">
      <c r="A3" s="1">
        <v>2</v>
      </c>
      <c r="B3" s="1" t="s">
        <v>28</v>
      </c>
      <c r="C3" s="1" t="s">
        <v>25</v>
      </c>
      <c r="D3" s="1" t="s">
        <v>25</v>
      </c>
      <c r="E3" s="1" t="s">
        <v>26</v>
      </c>
      <c r="F3" s="1" t="s">
        <v>25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26</v>
      </c>
      <c r="L3" s="1" t="s">
        <v>25</v>
      </c>
      <c r="M3" s="1" t="s">
        <v>25</v>
      </c>
      <c r="N3" s="1" t="s">
        <v>26</v>
      </c>
      <c r="O3" s="1" t="s">
        <v>26</v>
      </c>
      <c r="P3" s="1" t="s">
        <v>26</v>
      </c>
      <c r="Q3" s="1" t="s">
        <v>26</v>
      </c>
      <c r="AB3" s="1">
        <v>1</v>
      </c>
      <c r="AC3" s="1">
        <v>1</v>
      </c>
      <c r="AD3" s="1">
        <v>1</v>
      </c>
      <c r="AE3" s="1">
        <v>10</v>
      </c>
      <c r="AF3" s="1">
        <v>1</v>
      </c>
      <c r="AG3" s="1">
        <v>1</v>
      </c>
    </row>
    <row r="4" spans="1:33" x14ac:dyDescent="0.25">
      <c r="A4" s="1">
        <v>3</v>
      </c>
      <c r="B4" s="1" t="s">
        <v>28</v>
      </c>
      <c r="C4" s="1" t="s">
        <v>25</v>
      </c>
      <c r="D4" s="1" t="s">
        <v>25</v>
      </c>
      <c r="E4" s="1" t="s">
        <v>26</v>
      </c>
      <c r="F4" s="1" t="s">
        <v>25</v>
      </c>
      <c r="G4" s="1" t="s">
        <v>25</v>
      </c>
      <c r="H4" s="1" t="s">
        <v>26</v>
      </c>
      <c r="I4" s="1" t="s">
        <v>26</v>
      </c>
      <c r="J4" s="1" t="s">
        <v>26</v>
      </c>
      <c r="K4" s="1" t="s">
        <v>26</v>
      </c>
      <c r="L4" s="1" t="s">
        <v>26</v>
      </c>
      <c r="M4" s="1" t="s">
        <v>25</v>
      </c>
      <c r="N4" s="1" t="s">
        <v>26</v>
      </c>
      <c r="O4" s="1" t="s">
        <v>25</v>
      </c>
      <c r="P4" s="1" t="s">
        <v>25</v>
      </c>
      <c r="Q4" s="1" t="s">
        <v>26</v>
      </c>
      <c r="AB4" s="1">
        <v>8</v>
      </c>
      <c r="AC4" s="1">
        <v>5</v>
      </c>
      <c r="AD4" s="1">
        <v>5</v>
      </c>
      <c r="AE4" s="1">
        <v>4</v>
      </c>
      <c r="AF4" s="1">
        <v>6</v>
      </c>
      <c r="AG4" s="1">
        <v>1</v>
      </c>
    </row>
    <row r="5" spans="1:33" x14ac:dyDescent="0.25">
      <c r="A5" s="1">
        <v>4</v>
      </c>
      <c r="B5" s="1" t="s">
        <v>28</v>
      </c>
      <c r="C5" s="1" t="s">
        <v>26</v>
      </c>
      <c r="D5" s="1" t="s">
        <v>25</v>
      </c>
      <c r="E5" s="1" t="s">
        <v>26</v>
      </c>
      <c r="F5" s="1" t="s">
        <v>25</v>
      </c>
      <c r="G5" s="1" t="s">
        <v>25</v>
      </c>
      <c r="H5" s="1" t="s">
        <v>26</v>
      </c>
      <c r="I5" s="1" t="s">
        <v>26</v>
      </c>
      <c r="J5" s="1" t="s">
        <v>26</v>
      </c>
      <c r="K5" s="1" t="s">
        <v>26</v>
      </c>
      <c r="L5" s="1" t="s">
        <v>25</v>
      </c>
      <c r="M5" s="1" t="s">
        <v>25</v>
      </c>
      <c r="N5" s="1" t="s">
        <v>25</v>
      </c>
      <c r="O5" s="1" t="s">
        <v>25</v>
      </c>
      <c r="P5" s="1" t="s">
        <v>25</v>
      </c>
      <c r="Q5" s="1" t="s">
        <v>26</v>
      </c>
      <c r="AB5" s="1">
        <v>5</v>
      </c>
      <c r="AC5" s="1">
        <v>2</v>
      </c>
      <c r="AD5" s="1">
        <v>3</v>
      </c>
      <c r="AE5" s="1">
        <v>9</v>
      </c>
      <c r="AF5" s="1">
        <v>6</v>
      </c>
      <c r="AG5" s="1">
        <v>2</v>
      </c>
    </row>
    <row r="6" spans="1:33" x14ac:dyDescent="0.25">
      <c r="A6" s="1">
        <v>5</v>
      </c>
      <c r="B6" s="1" t="s">
        <v>28</v>
      </c>
      <c r="C6" s="1" t="s">
        <v>25</v>
      </c>
      <c r="D6" s="1" t="s">
        <v>26</v>
      </c>
      <c r="E6" s="1" t="s">
        <v>26</v>
      </c>
      <c r="F6" s="1" t="s">
        <v>25</v>
      </c>
      <c r="G6" s="1" t="s">
        <v>25</v>
      </c>
      <c r="H6" s="1" t="s">
        <v>25</v>
      </c>
      <c r="I6" s="1" t="s">
        <v>25</v>
      </c>
      <c r="J6" s="1" t="s">
        <v>26</v>
      </c>
      <c r="K6" s="1" t="s">
        <v>26</v>
      </c>
      <c r="L6" s="1" t="s">
        <v>26</v>
      </c>
      <c r="M6" s="1" t="s">
        <v>25</v>
      </c>
      <c r="N6" s="1" t="s">
        <v>25</v>
      </c>
      <c r="O6" s="1" t="s">
        <v>25</v>
      </c>
      <c r="P6" s="1" t="s">
        <v>25</v>
      </c>
      <c r="Q6" s="1" t="s">
        <v>26</v>
      </c>
      <c r="AB6" s="1">
        <v>10</v>
      </c>
      <c r="AC6" s="1">
        <v>7</v>
      </c>
      <c r="AD6" s="1">
        <v>5</v>
      </c>
      <c r="AE6" s="1">
        <v>7</v>
      </c>
      <c r="AF6" s="1">
        <v>9</v>
      </c>
      <c r="AG6" s="1">
        <v>1</v>
      </c>
    </row>
    <row r="7" spans="1:33" x14ac:dyDescent="0.25">
      <c r="A7" s="1">
        <v>6</v>
      </c>
      <c r="B7" s="1" t="s">
        <v>28</v>
      </c>
      <c r="C7" s="1" t="s">
        <v>26</v>
      </c>
      <c r="D7" s="1" t="s">
        <v>26</v>
      </c>
      <c r="E7" s="1" t="s">
        <v>26</v>
      </c>
      <c r="F7" s="1" t="s">
        <v>25</v>
      </c>
      <c r="G7" s="1" t="s">
        <v>25</v>
      </c>
      <c r="H7" s="1" t="s">
        <v>26</v>
      </c>
      <c r="I7" s="1" t="s">
        <v>26</v>
      </c>
      <c r="J7" s="1" t="s">
        <v>26</v>
      </c>
      <c r="K7" s="1" t="s">
        <v>25</v>
      </c>
      <c r="L7" s="1" t="s">
        <v>26</v>
      </c>
      <c r="M7" s="1" t="s">
        <v>26</v>
      </c>
      <c r="N7" s="1" t="s">
        <v>26</v>
      </c>
      <c r="O7" s="1" t="s">
        <v>26</v>
      </c>
      <c r="P7" s="1" t="s">
        <v>25</v>
      </c>
      <c r="Q7" s="1" t="s">
        <v>25</v>
      </c>
      <c r="AB7" s="1">
        <v>5</v>
      </c>
      <c r="AC7" s="1">
        <v>2</v>
      </c>
      <c r="AD7" s="1">
        <v>3</v>
      </c>
      <c r="AE7" s="1">
        <v>7</v>
      </c>
      <c r="AF7" s="1">
        <v>6</v>
      </c>
      <c r="AG7" s="1">
        <v>3</v>
      </c>
    </row>
    <row r="8" spans="1:33" x14ac:dyDescent="0.25">
      <c r="A8" s="1">
        <v>7</v>
      </c>
      <c r="B8" s="1" t="s">
        <v>28</v>
      </c>
      <c r="C8" s="1" t="s">
        <v>26</v>
      </c>
      <c r="D8" s="1" t="s">
        <v>25</v>
      </c>
      <c r="E8" s="1" t="s">
        <v>25</v>
      </c>
      <c r="F8" s="1" t="s">
        <v>26</v>
      </c>
      <c r="G8" s="1" t="s">
        <v>25</v>
      </c>
      <c r="H8" s="1" t="s">
        <v>26</v>
      </c>
      <c r="I8" s="1" t="s">
        <v>26</v>
      </c>
      <c r="J8" s="1" t="s">
        <v>25</v>
      </c>
      <c r="K8" s="1" t="s">
        <v>26</v>
      </c>
      <c r="L8" s="1" t="s">
        <v>26</v>
      </c>
      <c r="M8" s="1" t="s">
        <v>26</v>
      </c>
      <c r="N8" s="1" t="s">
        <v>25</v>
      </c>
      <c r="O8" s="1" t="s">
        <v>25</v>
      </c>
      <c r="P8" s="1" t="s">
        <v>25</v>
      </c>
      <c r="Q8" s="1" t="s">
        <v>26</v>
      </c>
      <c r="AB8" s="1">
        <v>1</v>
      </c>
      <c r="AC8" s="1">
        <v>1</v>
      </c>
      <c r="AD8" s="1">
        <v>1</v>
      </c>
      <c r="AE8" s="1">
        <v>10</v>
      </c>
      <c r="AF8" s="1">
        <v>1</v>
      </c>
      <c r="AG8" s="1">
        <v>1</v>
      </c>
    </row>
    <row r="9" spans="1:33" x14ac:dyDescent="0.25">
      <c r="A9" s="1">
        <v>8</v>
      </c>
      <c r="B9" s="1" t="s">
        <v>28</v>
      </c>
      <c r="C9" s="1" t="s">
        <v>25</v>
      </c>
      <c r="D9" s="1" t="s">
        <v>26</v>
      </c>
      <c r="E9" s="1" t="s">
        <v>26</v>
      </c>
      <c r="F9" s="1" t="s">
        <v>25</v>
      </c>
      <c r="G9" s="1" t="s">
        <v>25</v>
      </c>
      <c r="H9" s="1" t="s">
        <v>25</v>
      </c>
      <c r="I9" s="1" t="s">
        <v>25</v>
      </c>
      <c r="J9" s="1" t="s">
        <v>25</v>
      </c>
      <c r="K9" s="1" t="s">
        <v>26</v>
      </c>
      <c r="L9" s="1" t="s">
        <v>25</v>
      </c>
      <c r="M9" s="1" t="s">
        <v>26</v>
      </c>
      <c r="N9" s="1" t="s">
        <v>26</v>
      </c>
      <c r="O9" s="1" t="s">
        <v>26</v>
      </c>
      <c r="P9" s="1" t="s">
        <v>25</v>
      </c>
      <c r="Q9" s="1" t="s">
        <v>25</v>
      </c>
      <c r="AB9" s="1">
        <v>3</v>
      </c>
      <c r="AC9" s="1">
        <v>7</v>
      </c>
      <c r="AD9" s="1">
        <v>7</v>
      </c>
      <c r="AE9" s="1">
        <v>7</v>
      </c>
      <c r="AF9" s="1">
        <v>8</v>
      </c>
      <c r="AG9" s="1">
        <v>4</v>
      </c>
    </row>
    <row r="10" spans="1:33" x14ac:dyDescent="0.25">
      <c r="A10" s="1">
        <v>9</v>
      </c>
      <c r="B10" s="1" t="s">
        <v>28</v>
      </c>
      <c r="C10" s="1" t="s">
        <v>26</v>
      </c>
      <c r="D10" s="1" t="s">
        <v>25</v>
      </c>
      <c r="E10" s="1" t="s">
        <v>26</v>
      </c>
      <c r="F10" s="1" t="s">
        <v>25</v>
      </c>
      <c r="G10" s="1" t="s">
        <v>25</v>
      </c>
      <c r="H10" s="1" t="s">
        <v>25</v>
      </c>
      <c r="I10" s="1" t="s">
        <v>25</v>
      </c>
      <c r="J10" s="1" t="s">
        <v>26</v>
      </c>
      <c r="K10" s="1" t="s">
        <v>26</v>
      </c>
      <c r="L10" s="1" t="s">
        <v>26</v>
      </c>
      <c r="M10" s="1" t="s">
        <v>25</v>
      </c>
      <c r="N10" s="1" t="s">
        <v>25</v>
      </c>
      <c r="O10" s="1" t="s">
        <v>25</v>
      </c>
      <c r="P10" s="1" t="s">
        <v>26</v>
      </c>
      <c r="Q10" s="1" t="s">
        <v>26</v>
      </c>
      <c r="AB10" s="1">
        <v>2</v>
      </c>
      <c r="AC10" s="1">
        <v>2</v>
      </c>
      <c r="AD10" s="1">
        <v>2</v>
      </c>
      <c r="AE10" s="1">
        <v>8</v>
      </c>
      <c r="AF10" s="1">
        <v>3</v>
      </c>
      <c r="AG10" s="1">
        <v>2</v>
      </c>
    </row>
    <row r="11" spans="1:33" x14ac:dyDescent="0.25">
      <c r="A11" s="1">
        <v>10</v>
      </c>
      <c r="B11" s="1" t="s">
        <v>28</v>
      </c>
      <c r="C11" s="1" t="s">
        <v>26</v>
      </c>
      <c r="D11" s="1" t="s">
        <v>25</v>
      </c>
      <c r="E11" s="1" t="s">
        <v>25</v>
      </c>
      <c r="F11" s="1" t="s">
        <v>25</v>
      </c>
      <c r="G11" s="1" t="s">
        <v>25</v>
      </c>
      <c r="H11" s="1" t="s">
        <v>26</v>
      </c>
      <c r="I11" s="1" t="s">
        <v>25</v>
      </c>
      <c r="J11" s="1" t="s">
        <v>25</v>
      </c>
      <c r="K11" s="1" t="s">
        <v>26</v>
      </c>
      <c r="L11" s="1" t="s">
        <v>26</v>
      </c>
      <c r="M11" s="1" t="s">
        <v>26</v>
      </c>
      <c r="N11" s="1" t="s">
        <v>25</v>
      </c>
      <c r="O11" s="1" t="s">
        <v>25</v>
      </c>
      <c r="P11" s="1" t="s">
        <v>26</v>
      </c>
      <c r="Q11" s="1" t="s">
        <v>26</v>
      </c>
      <c r="AB11" s="1">
        <v>7</v>
      </c>
      <c r="AC11" s="1">
        <v>4</v>
      </c>
      <c r="AD11" s="1">
        <v>3</v>
      </c>
      <c r="AE11" s="1">
        <v>8</v>
      </c>
      <c r="AF11" s="1">
        <v>6</v>
      </c>
      <c r="AG11" s="1">
        <v>1</v>
      </c>
    </row>
    <row r="12" spans="1:33" x14ac:dyDescent="0.25">
      <c r="A12" s="1">
        <v>11</v>
      </c>
      <c r="B12" s="1" t="s">
        <v>28</v>
      </c>
      <c r="C12" s="1" t="s">
        <v>26</v>
      </c>
      <c r="D12" s="1" t="s">
        <v>25</v>
      </c>
      <c r="E12" s="1" t="s">
        <v>26</v>
      </c>
      <c r="F12" s="1" t="s">
        <v>26</v>
      </c>
      <c r="G12" s="1" t="s">
        <v>25</v>
      </c>
      <c r="H12" s="1" t="s">
        <v>26</v>
      </c>
      <c r="I12" s="1" t="s">
        <v>26</v>
      </c>
      <c r="J12" s="1" t="s">
        <v>26</v>
      </c>
      <c r="K12" s="1" t="s">
        <v>26</v>
      </c>
      <c r="L12" s="1" t="s">
        <v>26</v>
      </c>
      <c r="M12" s="1" t="s">
        <v>25</v>
      </c>
      <c r="N12" s="1" t="s">
        <v>25</v>
      </c>
      <c r="O12" s="1" t="s">
        <v>25</v>
      </c>
      <c r="P12" s="1" t="s">
        <v>25</v>
      </c>
      <c r="Q12" s="1" t="s">
        <v>26</v>
      </c>
      <c r="AB12" s="1">
        <v>5</v>
      </c>
      <c r="AC12" s="1">
        <v>2</v>
      </c>
      <c r="AD12" s="1">
        <v>3</v>
      </c>
      <c r="AE12" s="1">
        <v>9</v>
      </c>
      <c r="AF12" s="1">
        <v>2</v>
      </c>
      <c r="AG12" s="1">
        <v>2</v>
      </c>
    </row>
    <row r="13" spans="1:33" x14ac:dyDescent="0.25">
      <c r="A13" s="1">
        <v>12</v>
      </c>
      <c r="B13" s="1" t="s">
        <v>28</v>
      </c>
      <c r="C13" s="1" t="s">
        <v>25</v>
      </c>
      <c r="D13" s="1" t="s">
        <v>26</v>
      </c>
      <c r="E13" s="1" t="s">
        <v>26</v>
      </c>
      <c r="F13" s="1" t="s">
        <v>26</v>
      </c>
      <c r="G13" s="1" t="s">
        <v>26</v>
      </c>
      <c r="H13" s="1" t="s">
        <v>26</v>
      </c>
      <c r="I13" s="1" t="s">
        <v>26</v>
      </c>
      <c r="J13" s="1" t="s">
        <v>26</v>
      </c>
      <c r="K13" s="1" t="s">
        <v>25</v>
      </c>
      <c r="L13" s="1" t="s">
        <v>26</v>
      </c>
      <c r="M13" s="1" t="s">
        <v>26</v>
      </c>
      <c r="N13" s="1" t="s">
        <v>25</v>
      </c>
      <c r="O13" s="1" t="s">
        <v>25</v>
      </c>
      <c r="P13" s="1" t="s">
        <v>25</v>
      </c>
      <c r="Q13" s="1" t="s">
        <v>26</v>
      </c>
      <c r="AB13" s="1">
        <v>3</v>
      </c>
      <c r="AC13" s="1">
        <v>1</v>
      </c>
      <c r="AD13" s="1">
        <v>5</v>
      </c>
      <c r="AE13" s="1">
        <v>8</v>
      </c>
      <c r="AF13" s="1">
        <v>3</v>
      </c>
      <c r="AG13" s="1">
        <v>2</v>
      </c>
    </row>
    <row r="14" spans="1:33" x14ac:dyDescent="0.25">
      <c r="A14" s="1">
        <v>13</v>
      </c>
      <c r="B14" s="1" t="s">
        <v>28</v>
      </c>
      <c r="C14" s="1" t="s">
        <v>25</v>
      </c>
      <c r="D14" s="1" t="s">
        <v>25</v>
      </c>
      <c r="E14" s="1" t="s">
        <v>25</v>
      </c>
      <c r="F14" s="1" t="s">
        <v>25</v>
      </c>
      <c r="G14" s="1" t="s">
        <v>25</v>
      </c>
      <c r="H14" s="1" t="s">
        <v>26</v>
      </c>
      <c r="I14" s="1" t="s">
        <v>25</v>
      </c>
      <c r="J14" s="1" t="s">
        <v>25</v>
      </c>
      <c r="K14" s="1" t="s">
        <v>26</v>
      </c>
      <c r="L14" s="1" t="s">
        <v>25</v>
      </c>
      <c r="M14" s="1" t="s">
        <v>26</v>
      </c>
      <c r="N14" s="1" t="s">
        <v>26</v>
      </c>
      <c r="O14" s="1" t="s">
        <v>25</v>
      </c>
      <c r="P14" s="1" t="s">
        <v>25</v>
      </c>
      <c r="Q14" s="1" t="s">
        <v>25</v>
      </c>
      <c r="AB14" s="1">
        <v>4</v>
      </c>
      <c r="AC14" s="1">
        <v>1</v>
      </c>
      <c r="AD14" s="1">
        <v>5</v>
      </c>
      <c r="AE14" s="1">
        <v>9</v>
      </c>
      <c r="AF14" s="1">
        <v>3</v>
      </c>
      <c r="AG14" s="1">
        <v>4</v>
      </c>
    </row>
    <row r="15" spans="1:33" x14ac:dyDescent="0.25">
      <c r="A15" s="1">
        <v>14</v>
      </c>
      <c r="B15" s="1" t="s">
        <v>28</v>
      </c>
      <c r="C15" s="1" t="s">
        <v>25</v>
      </c>
      <c r="D15" s="1" t="s">
        <v>26</v>
      </c>
      <c r="E15" s="1" t="s">
        <v>26</v>
      </c>
      <c r="F15" s="1" t="s">
        <v>25</v>
      </c>
      <c r="G15" s="1" t="s">
        <v>26</v>
      </c>
      <c r="H15" s="1" t="s">
        <v>25</v>
      </c>
      <c r="I15" s="1" t="s">
        <v>26</v>
      </c>
      <c r="J15" s="1" t="s">
        <v>26</v>
      </c>
      <c r="K15" s="1" t="s">
        <v>25</v>
      </c>
      <c r="L15" s="1" t="s">
        <v>26</v>
      </c>
      <c r="M15" s="1" t="s">
        <v>25</v>
      </c>
      <c r="N15" s="1" t="s">
        <v>25</v>
      </c>
      <c r="O15" s="1" t="s">
        <v>25</v>
      </c>
      <c r="P15" s="1" t="s">
        <v>25</v>
      </c>
      <c r="Q15" s="1" t="s">
        <v>25</v>
      </c>
      <c r="AB15" s="1">
        <v>6</v>
      </c>
      <c r="AC15" s="1">
        <v>1</v>
      </c>
      <c r="AD15" s="1">
        <v>1</v>
      </c>
      <c r="AE15" s="1">
        <v>3</v>
      </c>
      <c r="AF15" s="1">
        <v>6</v>
      </c>
      <c r="AG15" s="1">
        <v>6</v>
      </c>
    </row>
    <row r="16" spans="1:33" x14ac:dyDescent="0.25">
      <c r="A16" s="1">
        <v>15</v>
      </c>
      <c r="B16" s="1" t="s">
        <v>28</v>
      </c>
      <c r="C16" s="1" t="s">
        <v>25</v>
      </c>
      <c r="D16" s="1" t="s">
        <v>25</v>
      </c>
      <c r="E16" s="1" t="s">
        <v>25</v>
      </c>
      <c r="F16" s="1" t="s">
        <v>26</v>
      </c>
      <c r="G16" s="1" t="s">
        <v>25</v>
      </c>
      <c r="H16" s="1" t="s">
        <v>26</v>
      </c>
      <c r="I16" s="1" t="s">
        <v>25</v>
      </c>
      <c r="J16" s="1" t="s">
        <v>25</v>
      </c>
      <c r="K16" s="1" t="s">
        <v>26</v>
      </c>
      <c r="L16" s="1" t="s">
        <v>25</v>
      </c>
      <c r="M16" s="1" t="s">
        <v>26</v>
      </c>
      <c r="N16" s="1" t="s">
        <v>26</v>
      </c>
      <c r="O16" s="1" t="s">
        <v>26</v>
      </c>
      <c r="P16" s="1" t="s">
        <v>25</v>
      </c>
      <c r="Q16" s="1" t="s">
        <v>25</v>
      </c>
      <c r="AB16" s="1">
        <v>1</v>
      </c>
      <c r="AC16" s="1">
        <v>1</v>
      </c>
      <c r="AD16" s="1">
        <v>1</v>
      </c>
      <c r="AE16" s="1">
        <v>8</v>
      </c>
      <c r="AF16" s="1">
        <v>4</v>
      </c>
      <c r="AG16" s="1">
        <v>5</v>
      </c>
    </row>
    <row r="17" spans="1:33" x14ac:dyDescent="0.25">
      <c r="A17" s="1">
        <v>16</v>
      </c>
      <c r="B17" s="1" t="s">
        <v>28</v>
      </c>
      <c r="C17" s="1" t="s">
        <v>26</v>
      </c>
      <c r="D17" s="1" t="s">
        <v>25</v>
      </c>
      <c r="E17" s="1" t="s">
        <v>25</v>
      </c>
      <c r="F17" s="1" t="s">
        <v>25</v>
      </c>
      <c r="G17" s="1" t="s">
        <v>26</v>
      </c>
      <c r="H17" s="1" t="s">
        <v>26</v>
      </c>
      <c r="I17" s="1" t="s">
        <v>25</v>
      </c>
      <c r="J17" s="1" t="s">
        <v>25</v>
      </c>
      <c r="K17" s="1" t="s">
        <v>25</v>
      </c>
      <c r="L17" s="1" t="s">
        <v>25</v>
      </c>
      <c r="M17" s="1" t="s">
        <v>26</v>
      </c>
      <c r="N17" s="1" t="s">
        <v>25</v>
      </c>
      <c r="O17" s="1" t="s">
        <v>26</v>
      </c>
      <c r="P17" s="1" t="s">
        <v>26</v>
      </c>
      <c r="Q17" s="1" t="s">
        <v>25</v>
      </c>
      <c r="AB17" s="1">
        <v>4</v>
      </c>
      <c r="AC17" s="1">
        <v>6</v>
      </c>
      <c r="AD17" s="1">
        <v>3</v>
      </c>
      <c r="AE17" s="1">
        <v>6</v>
      </c>
      <c r="AF17" s="1">
        <v>5</v>
      </c>
      <c r="AG17" s="1">
        <v>1</v>
      </c>
    </row>
    <row r="18" spans="1:33" x14ac:dyDescent="0.25">
      <c r="A18" s="1">
        <v>17</v>
      </c>
      <c r="B18" s="1" t="s">
        <v>28</v>
      </c>
      <c r="C18" s="1" t="s">
        <v>26</v>
      </c>
      <c r="D18" s="1" t="s">
        <v>25</v>
      </c>
      <c r="E18" s="1" t="s">
        <v>25</v>
      </c>
      <c r="F18" s="1" t="s">
        <v>26</v>
      </c>
      <c r="G18" s="1" t="s">
        <v>25</v>
      </c>
      <c r="H18" s="1" t="s">
        <v>26</v>
      </c>
      <c r="I18" s="1" t="s">
        <v>26</v>
      </c>
      <c r="J18" s="1" t="s">
        <v>25</v>
      </c>
      <c r="K18" s="1" t="s">
        <v>26</v>
      </c>
      <c r="L18" s="1" t="s">
        <v>25</v>
      </c>
      <c r="M18" s="1" t="s">
        <v>25</v>
      </c>
      <c r="N18" s="1" t="s">
        <v>26</v>
      </c>
      <c r="O18" s="1" t="s">
        <v>25</v>
      </c>
      <c r="P18" s="1" t="s">
        <v>25</v>
      </c>
      <c r="Q18" s="1" t="s">
        <v>25</v>
      </c>
      <c r="AB18" s="1">
        <v>3</v>
      </c>
      <c r="AC18" s="1">
        <v>1</v>
      </c>
      <c r="AD18" s="1">
        <v>5</v>
      </c>
      <c r="AE18" s="1">
        <v>7</v>
      </c>
      <c r="AF18" s="1">
        <v>6</v>
      </c>
      <c r="AG18" s="1">
        <v>1</v>
      </c>
    </row>
    <row r="19" spans="1:33" x14ac:dyDescent="0.25">
      <c r="A19" s="1">
        <v>18</v>
      </c>
      <c r="B19" s="1" t="s">
        <v>28</v>
      </c>
      <c r="C19" s="1" t="s">
        <v>25</v>
      </c>
      <c r="D19" s="1" t="s">
        <v>25</v>
      </c>
      <c r="E19" s="1" t="s">
        <v>25</v>
      </c>
      <c r="F19" s="1" t="s">
        <v>25</v>
      </c>
      <c r="G19" s="1" t="s">
        <v>25</v>
      </c>
      <c r="H19" s="1" t="s">
        <v>26</v>
      </c>
      <c r="I19" s="1" t="s">
        <v>25</v>
      </c>
      <c r="J19" s="1" t="s">
        <v>25</v>
      </c>
      <c r="K19" s="1" t="s">
        <v>26</v>
      </c>
      <c r="L19" s="1" t="s">
        <v>26</v>
      </c>
      <c r="M19" s="1" t="s">
        <v>25</v>
      </c>
      <c r="N19" s="1" t="s">
        <v>26</v>
      </c>
      <c r="O19" s="1" t="s">
        <v>26</v>
      </c>
      <c r="P19" s="1" t="s">
        <v>26</v>
      </c>
      <c r="Q19" s="1" t="s">
        <v>26</v>
      </c>
      <c r="AB19" s="1">
        <v>3</v>
      </c>
      <c r="AC19" s="1">
        <v>8</v>
      </c>
      <c r="AD19" s="1">
        <v>1</v>
      </c>
      <c r="AE19" s="1">
        <v>6</v>
      </c>
      <c r="AF19" s="1">
        <v>8</v>
      </c>
      <c r="AG19" s="1">
        <v>1</v>
      </c>
    </row>
    <row r="20" spans="1:33" x14ac:dyDescent="0.25">
      <c r="A20" s="1">
        <v>19</v>
      </c>
      <c r="B20" s="1" t="s">
        <v>28</v>
      </c>
      <c r="C20" s="1" t="s">
        <v>25</v>
      </c>
      <c r="D20" s="1" t="s">
        <v>25</v>
      </c>
      <c r="E20" s="1" t="s">
        <v>26</v>
      </c>
      <c r="F20" s="1" t="s">
        <v>25</v>
      </c>
      <c r="G20" s="1" t="s">
        <v>25</v>
      </c>
      <c r="H20" s="1" t="s">
        <v>26</v>
      </c>
      <c r="I20" s="1" t="s">
        <v>25</v>
      </c>
      <c r="J20" s="1" t="s">
        <v>25</v>
      </c>
      <c r="K20" s="1" t="s">
        <v>26</v>
      </c>
      <c r="L20" s="1" t="s">
        <v>26</v>
      </c>
      <c r="M20" s="1" t="s">
        <v>26</v>
      </c>
      <c r="N20" s="1" t="s">
        <v>25</v>
      </c>
      <c r="O20" s="1" t="s">
        <v>25</v>
      </c>
      <c r="P20" s="1" t="s">
        <v>26</v>
      </c>
      <c r="Q20" s="1" t="s">
        <v>26</v>
      </c>
      <c r="AB20" s="1">
        <v>9</v>
      </c>
      <c r="AC20" s="1">
        <v>8</v>
      </c>
      <c r="AD20" s="1">
        <v>8</v>
      </c>
      <c r="AE20" s="1">
        <v>10</v>
      </c>
      <c r="AF20" s="1">
        <v>9</v>
      </c>
      <c r="AG20" s="1">
        <v>1</v>
      </c>
    </row>
    <row r="21" spans="1:33" x14ac:dyDescent="0.25">
      <c r="A21" s="1">
        <v>20</v>
      </c>
      <c r="B21" s="1" t="s">
        <v>28</v>
      </c>
      <c r="C21" s="1" t="s">
        <v>26</v>
      </c>
      <c r="D21" s="1" t="s">
        <v>25</v>
      </c>
      <c r="E21" s="1" t="s">
        <v>25</v>
      </c>
      <c r="F21" s="1" t="s">
        <v>25</v>
      </c>
      <c r="G21" s="1" t="s">
        <v>25</v>
      </c>
      <c r="H21" s="1" t="s">
        <v>26</v>
      </c>
      <c r="I21" s="1" t="s">
        <v>26</v>
      </c>
      <c r="J21" s="1" t="s">
        <v>25</v>
      </c>
      <c r="K21" s="1" t="s">
        <v>26</v>
      </c>
      <c r="L21" s="1" t="s">
        <v>26</v>
      </c>
      <c r="M21" s="1" t="s">
        <v>26</v>
      </c>
      <c r="N21" s="1" t="s">
        <v>25</v>
      </c>
      <c r="O21" s="1" t="s">
        <v>25</v>
      </c>
      <c r="P21" s="1" t="s">
        <v>25</v>
      </c>
      <c r="Q21" s="1" t="s">
        <v>26</v>
      </c>
      <c r="AB21" s="1">
        <v>2</v>
      </c>
      <c r="AC21" s="1">
        <v>1</v>
      </c>
      <c r="AD21" s="1">
        <v>4</v>
      </c>
      <c r="AE21" s="1">
        <v>8</v>
      </c>
      <c r="AF21" s="1">
        <v>4</v>
      </c>
      <c r="AG21" s="1">
        <v>1</v>
      </c>
    </row>
    <row r="22" spans="1:33" x14ac:dyDescent="0.25">
      <c r="A22" s="1">
        <v>21</v>
      </c>
      <c r="B22" s="1" t="s">
        <v>28</v>
      </c>
      <c r="C22" s="1" t="s">
        <v>25</v>
      </c>
      <c r="D22" s="1" t="s">
        <v>25</v>
      </c>
      <c r="E22" s="1" t="s">
        <v>26</v>
      </c>
      <c r="F22" s="1" t="s">
        <v>25</v>
      </c>
      <c r="G22" s="1" t="s">
        <v>25</v>
      </c>
      <c r="H22" s="1" t="s">
        <v>25</v>
      </c>
      <c r="I22" s="1" t="s">
        <v>25</v>
      </c>
      <c r="J22" s="1" t="s">
        <v>25</v>
      </c>
      <c r="K22" s="1" t="s">
        <v>26</v>
      </c>
      <c r="L22" s="1" t="s">
        <v>26</v>
      </c>
      <c r="M22" s="1" t="s">
        <v>25</v>
      </c>
      <c r="N22" s="1" t="s">
        <v>25</v>
      </c>
      <c r="O22" s="1" t="s">
        <v>25</v>
      </c>
      <c r="P22" s="1" t="s">
        <v>26</v>
      </c>
      <c r="Q22" s="1" t="s">
        <v>25</v>
      </c>
      <c r="AB22" s="1">
        <v>2</v>
      </c>
      <c r="AC22" s="1">
        <v>2</v>
      </c>
      <c r="AD22" s="1">
        <v>5</v>
      </c>
      <c r="AE22" s="1">
        <v>7</v>
      </c>
      <c r="AF22" s="1">
        <v>2</v>
      </c>
      <c r="AG22" s="1">
        <v>1</v>
      </c>
    </row>
    <row r="23" spans="1:33" x14ac:dyDescent="0.25">
      <c r="A23" s="1">
        <v>23</v>
      </c>
      <c r="B23" s="1" t="s">
        <v>28</v>
      </c>
      <c r="C23" s="1" t="s">
        <v>26</v>
      </c>
      <c r="D23" s="1" t="s">
        <v>25</v>
      </c>
      <c r="E23" s="1" t="s">
        <v>25</v>
      </c>
      <c r="F23" s="1" t="s">
        <v>25</v>
      </c>
      <c r="G23" s="1" t="s">
        <v>25</v>
      </c>
      <c r="H23" s="1" t="s">
        <v>26</v>
      </c>
      <c r="I23" s="1" t="s">
        <v>25</v>
      </c>
      <c r="J23" s="1" t="s">
        <v>25</v>
      </c>
      <c r="K23" s="1" t="s">
        <v>26</v>
      </c>
      <c r="L23" s="1" t="s">
        <v>26</v>
      </c>
      <c r="M23" s="1" t="s">
        <v>26</v>
      </c>
      <c r="N23" s="1" t="s">
        <v>25</v>
      </c>
      <c r="O23" s="1" t="s">
        <v>25</v>
      </c>
      <c r="P23" s="1" t="s">
        <v>25</v>
      </c>
      <c r="Q23" s="1" t="s">
        <v>26</v>
      </c>
      <c r="AB23" s="1">
        <v>3</v>
      </c>
      <c r="AC23" s="1">
        <v>5</v>
      </c>
      <c r="AD23" s="1">
        <v>6</v>
      </c>
      <c r="AE23" s="1">
        <v>7</v>
      </c>
      <c r="AF23" s="1">
        <v>5</v>
      </c>
      <c r="AG23" s="1">
        <v>1</v>
      </c>
    </row>
    <row r="24" spans="1:33" x14ac:dyDescent="0.25">
      <c r="A24" s="1">
        <v>24</v>
      </c>
      <c r="B24" s="1" t="s">
        <v>28</v>
      </c>
      <c r="C24" s="1" t="s">
        <v>25</v>
      </c>
      <c r="D24" s="1" t="s">
        <v>25</v>
      </c>
      <c r="E24" s="1" t="s">
        <v>25</v>
      </c>
      <c r="F24" s="1" t="s">
        <v>25</v>
      </c>
      <c r="G24" s="1" t="s">
        <v>25</v>
      </c>
      <c r="H24" s="1" t="s">
        <v>26</v>
      </c>
      <c r="I24" s="1" t="s">
        <v>26</v>
      </c>
      <c r="J24" s="1" t="s">
        <v>26</v>
      </c>
      <c r="K24" s="1" t="s">
        <v>26</v>
      </c>
      <c r="L24" s="1" t="s">
        <v>26</v>
      </c>
      <c r="M24" s="1" t="s">
        <v>25</v>
      </c>
      <c r="N24" s="1" t="s">
        <v>25</v>
      </c>
      <c r="O24" s="1" t="s">
        <v>26</v>
      </c>
      <c r="P24" s="1" t="s">
        <v>25</v>
      </c>
      <c r="Q24" s="1" t="s">
        <v>26</v>
      </c>
      <c r="AB24" s="1">
        <v>4</v>
      </c>
      <c r="AC24" s="1">
        <v>1</v>
      </c>
      <c r="AD24" s="1">
        <v>5</v>
      </c>
      <c r="AE24" s="1">
        <v>10</v>
      </c>
      <c r="AF24" s="1">
        <v>4</v>
      </c>
      <c r="AG24" s="1">
        <v>1</v>
      </c>
    </row>
    <row r="25" spans="1:33" x14ac:dyDescent="0.25">
      <c r="A25" s="1">
        <v>25</v>
      </c>
      <c r="B25" s="1" t="s">
        <v>28</v>
      </c>
      <c r="C25" s="1" t="s">
        <v>26</v>
      </c>
      <c r="D25" s="1" t="s">
        <v>25</v>
      </c>
      <c r="E25" s="1" t="s">
        <v>25</v>
      </c>
      <c r="F25" s="1" t="s">
        <v>25</v>
      </c>
      <c r="G25" s="1" t="s">
        <v>25</v>
      </c>
      <c r="H25" s="1" t="s">
        <v>26</v>
      </c>
      <c r="I25" s="1" t="s">
        <v>25</v>
      </c>
      <c r="J25" s="1" t="s">
        <v>25</v>
      </c>
      <c r="K25" s="1" t="s">
        <v>26</v>
      </c>
      <c r="L25" s="1" t="s">
        <v>26</v>
      </c>
      <c r="M25" s="1" t="s">
        <v>26</v>
      </c>
      <c r="N25" s="1" t="s">
        <v>25</v>
      </c>
      <c r="O25" s="1" t="s">
        <v>25</v>
      </c>
      <c r="P25" s="1" t="s">
        <v>25</v>
      </c>
      <c r="Q25" s="1" t="s">
        <v>26</v>
      </c>
      <c r="AB25" s="1">
        <v>3</v>
      </c>
      <c r="AC25" s="1">
        <v>1</v>
      </c>
      <c r="AD25" s="1">
        <v>2</v>
      </c>
      <c r="AE25" s="1">
        <v>9</v>
      </c>
      <c r="AF25" s="1">
        <v>3</v>
      </c>
      <c r="AG25" s="1">
        <v>2</v>
      </c>
    </row>
    <row r="26" spans="1:33" x14ac:dyDescent="0.25">
      <c r="A26" s="1">
        <v>26</v>
      </c>
      <c r="B26" s="1" t="s">
        <v>28</v>
      </c>
      <c r="C26" s="1" t="s">
        <v>26</v>
      </c>
      <c r="D26" s="1" t="s">
        <v>26</v>
      </c>
      <c r="E26" s="1" t="s">
        <v>25</v>
      </c>
      <c r="F26" s="1" t="s">
        <v>26</v>
      </c>
      <c r="G26" s="1" t="s">
        <v>26</v>
      </c>
      <c r="H26" s="1" t="s">
        <v>26</v>
      </c>
      <c r="I26" s="1" t="s">
        <v>26</v>
      </c>
      <c r="J26" s="1" t="s">
        <v>25</v>
      </c>
      <c r="K26" s="1" t="s">
        <v>25</v>
      </c>
      <c r="L26" s="1" t="s">
        <v>26</v>
      </c>
      <c r="M26" s="1" t="s">
        <v>26</v>
      </c>
      <c r="N26" s="1" t="s">
        <v>25</v>
      </c>
      <c r="O26" s="1" t="s">
        <v>25</v>
      </c>
      <c r="P26" s="1" t="s">
        <v>25</v>
      </c>
      <c r="Q26" s="1" t="s">
        <v>25</v>
      </c>
      <c r="AB26" s="1">
        <v>5</v>
      </c>
      <c r="AC26" s="1">
        <v>1</v>
      </c>
      <c r="AD26" s="1">
        <v>3</v>
      </c>
      <c r="AE26" s="1">
        <v>7</v>
      </c>
      <c r="AF26" s="1">
        <v>7</v>
      </c>
      <c r="AG26" s="1">
        <v>8</v>
      </c>
    </row>
    <row r="27" spans="1:33" x14ac:dyDescent="0.25">
      <c r="A27" s="1">
        <v>27</v>
      </c>
      <c r="B27" s="1" t="s">
        <v>28</v>
      </c>
      <c r="C27" s="1" t="s">
        <v>25</v>
      </c>
      <c r="D27" s="1" t="s">
        <v>25</v>
      </c>
      <c r="E27" s="1" t="s">
        <v>26</v>
      </c>
      <c r="F27" s="1" t="s">
        <v>26</v>
      </c>
      <c r="G27" s="1" t="s">
        <v>25</v>
      </c>
      <c r="H27" s="1" t="s">
        <v>25</v>
      </c>
      <c r="I27" s="1" t="s">
        <v>25</v>
      </c>
      <c r="J27" s="1" t="s">
        <v>26</v>
      </c>
      <c r="K27" s="1" t="s">
        <v>26</v>
      </c>
      <c r="L27" s="1" t="s">
        <v>26</v>
      </c>
      <c r="M27" s="1" t="s">
        <v>26</v>
      </c>
      <c r="N27" s="1" t="s">
        <v>25</v>
      </c>
      <c r="O27" s="1" t="s">
        <v>25</v>
      </c>
      <c r="P27" s="1" t="s">
        <v>25</v>
      </c>
      <c r="Q27" s="1" t="s">
        <v>26</v>
      </c>
      <c r="AB27" s="1">
        <v>7</v>
      </c>
      <c r="AC27" s="1">
        <v>8</v>
      </c>
      <c r="AD27" s="1">
        <v>8</v>
      </c>
      <c r="AE27" s="1">
        <v>6</v>
      </c>
      <c r="AF27" s="1">
        <v>5</v>
      </c>
      <c r="AG27" s="1">
        <v>7</v>
      </c>
    </row>
    <row r="28" spans="1:33" x14ac:dyDescent="0.25">
      <c r="A28" s="1">
        <v>28</v>
      </c>
      <c r="B28" s="1" t="s">
        <v>28</v>
      </c>
      <c r="C28" s="1" t="s">
        <v>26</v>
      </c>
      <c r="D28" s="1" t="s">
        <v>25</v>
      </c>
      <c r="E28" s="1" t="s">
        <v>25</v>
      </c>
      <c r="F28" s="1" t="s">
        <v>26</v>
      </c>
      <c r="G28" s="1" t="s">
        <v>26</v>
      </c>
      <c r="H28" s="1" t="s">
        <v>26</v>
      </c>
      <c r="I28" s="1" t="s">
        <v>26</v>
      </c>
      <c r="J28" s="1" t="s">
        <v>26</v>
      </c>
      <c r="K28" s="1" t="s">
        <v>26</v>
      </c>
      <c r="L28" s="1" t="s">
        <v>25</v>
      </c>
      <c r="M28" s="1" t="s">
        <v>26</v>
      </c>
      <c r="N28" s="1" t="s">
        <v>25</v>
      </c>
      <c r="O28" s="1" t="s">
        <v>25</v>
      </c>
      <c r="P28" s="1" t="s">
        <v>25</v>
      </c>
      <c r="Q28" s="1" t="s">
        <v>26</v>
      </c>
      <c r="AB28" s="1">
        <v>3</v>
      </c>
      <c r="AC28" s="1">
        <v>3</v>
      </c>
      <c r="AD28" s="1">
        <v>1</v>
      </c>
      <c r="AE28" s="1">
        <v>3</v>
      </c>
      <c r="AF28" s="1">
        <v>3</v>
      </c>
      <c r="AG28" s="1">
        <v>3</v>
      </c>
    </row>
    <row r="29" spans="1:33" x14ac:dyDescent="0.25">
      <c r="A29" s="1">
        <v>29</v>
      </c>
      <c r="B29" s="1" t="s">
        <v>28</v>
      </c>
      <c r="C29" s="1" t="s">
        <v>26</v>
      </c>
      <c r="D29" s="1" t="s">
        <v>25</v>
      </c>
      <c r="E29" s="1" t="s">
        <v>26</v>
      </c>
      <c r="F29" s="1" t="s">
        <v>26</v>
      </c>
      <c r="G29" s="1" t="s">
        <v>25</v>
      </c>
      <c r="H29" s="1" t="s">
        <v>26</v>
      </c>
      <c r="I29" s="1" t="s">
        <v>26</v>
      </c>
      <c r="J29" s="1" t="s">
        <v>26</v>
      </c>
      <c r="K29" s="1" t="s">
        <v>26</v>
      </c>
      <c r="L29" s="1" t="s">
        <v>26</v>
      </c>
      <c r="M29" s="1" t="s">
        <v>25</v>
      </c>
      <c r="N29" s="1" t="s">
        <v>26</v>
      </c>
      <c r="O29" s="1" t="s">
        <v>25</v>
      </c>
      <c r="P29" s="1" t="s">
        <v>25</v>
      </c>
      <c r="Q29" s="1" t="s">
        <v>26</v>
      </c>
      <c r="AB29" s="1">
        <v>6</v>
      </c>
      <c r="AC29" s="1">
        <v>1</v>
      </c>
      <c r="AD29" s="1">
        <v>3</v>
      </c>
      <c r="AE29" s="1">
        <v>8</v>
      </c>
      <c r="AF29" s="1">
        <v>4</v>
      </c>
      <c r="AG29" s="1">
        <v>1</v>
      </c>
    </row>
    <row r="30" spans="1:33" x14ac:dyDescent="0.25">
      <c r="R30" s="2" t="s">
        <v>52</v>
      </c>
      <c r="S30" s="2" t="s">
        <v>53</v>
      </c>
      <c r="T30" s="2" t="s">
        <v>54</v>
      </c>
      <c r="U30" s="2" t="s">
        <v>55</v>
      </c>
      <c r="V30" s="2" t="s">
        <v>56</v>
      </c>
      <c r="W30" s="2" t="s">
        <v>57</v>
      </c>
      <c r="X30" s="2" t="s">
        <v>58</v>
      </c>
    </row>
    <row r="31" spans="1:33" x14ac:dyDescent="0.25">
      <c r="A31" s="1">
        <v>1</v>
      </c>
      <c r="B31" s="1" t="s">
        <v>28</v>
      </c>
      <c r="C31" t="str">
        <f t="shared" ref="C31:C58" si="0">IF(C2="A","Effort","Performance")</f>
        <v>Effort</v>
      </c>
      <c r="D31" t="str">
        <f t="shared" ref="D31:D58" si="1">IF(D2="A","Temporal Demand", "Frustration")</f>
        <v>Temporal Demand</v>
      </c>
      <c r="E31" t="str">
        <f t="shared" ref="E31:E58" si="2">IF(E2="A","Temporal Demand", "Effort")</f>
        <v>Temporal Demand</v>
      </c>
      <c r="F31" t="str">
        <f t="shared" ref="F31:F58" si="3">IF(F2="A","Physical Demand","Frustration")</f>
        <v>Physical Demand</v>
      </c>
      <c r="G31" t="str">
        <f t="shared" ref="G31:G58" si="4">IF(G2="A","Performance","Frustration")</f>
        <v>Performance</v>
      </c>
      <c r="H31" t="str">
        <f t="shared" ref="H31:H58" si="5">IF(H2="A","Physical Demand", "Temporal Demand")</f>
        <v>Temporal Demand</v>
      </c>
      <c r="I31" t="str">
        <f t="shared" ref="I31:I58" si="6">IF(I2="A","Physical Demand", "Performance")</f>
        <v>Performance</v>
      </c>
      <c r="J31" t="str">
        <f t="shared" ref="J31:J58" si="7">IF(J2="A","Temporal Demand", "Mental Demand")</f>
        <v>Temporal Demand</v>
      </c>
      <c r="K31" t="str">
        <f t="shared" ref="K31:K58" si="8">IF(K2="A","Frustration", "Effort")</f>
        <v>Effort</v>
      </c>
      <c r="L31" t="str">
        <f t="shared" ref="L31:L58" si="9">IF(L2="A","Performance","Mental Demand")</f>
        <v>Mental Demand</v>
      </c>
      <c r="M31" t="str">
        <f t="shared" ref="M31:M58" si="10">IF(M2="A","Performance","Temporal Demand")</f>
        <v>Temporal Demand</v>
      </c>
      <c r="N31" t="str">
        <f t="shared" ref="N31:N58" si="11">IF(N2="A","Mental Demand", "Effort")</f>
        <v>Mental Demand</v>
      </c>
      <c r="O31" t="str">
        <f t="shared" ref="O31:O58" si="12">IF(O2="A","Mental Demand", "Physical Demand")</f>
        <v>Mental Demand</v>
      </c>
      <c r="P31" t="str">
        <f t="shared" ref="P31:P58" si="13">IF(P2="A","Effort", "Physical Demand")</f>
        <v>Effort</v>
      </c>
      <c r="Q31" t="str">
        <f t="shared" ref="Q31:Q58" si="14">IF(Q2="A","Frustration", "Mental Demand")</f>
        <v>Mental Demand</v>
      </c>
      <c r="R31">
        <f>COUNTIF(C31:Q31,R$30)</f>
        <v>4</v>
      </c>
      <c r="S31">
        <f>COUNTIF(C31:Q31,S$30)</f>
        <v>1</v>
      </c>
      <c r="T31">
        <f>COUNTIF(C31:Q31,T$30)</f>
        <v>5</v>
      </c>
      <c r="U31">
        <f>COUNTIF(C31:Q31,U$30)</f>
        <v>2</v>
      </c>
      <c r="V31">
        <f>COUNTIF(C31:Q31,V$30)</f>
        <v>3</v>
      </c>
      <c r="W31">
        <f>COUNTIF(C31:Q31,W$30)</f>
        <v>0</v>
      </c>
      <c r="X31">
        <f>SUM(R31:W31)</f>
        <v>15</v>
      </c>
    </row>
    <row r="32" spans="1:33" x14ac:dyDescent="0.25">
      <c r="A32" s="1">
        <v>2</v>
      </c>
      <c r="B32" s="1" t="s">
        <v>28</v>
      </c>
      <c r="C32" t="str">
        <f t="shared" si="0"/>
        <v>Effort</v>
      </c>
      <c r="D32" t="str">
        <f t="shared" si="1"/>
        <v>Temporal Demand</v>
      </c>
      <c r="E32" t="str">
        <f t="shared" si="2"/>
        <v>Effort</v>
      </c>
      <c r="F32" t="str">
        <f t="shared" si="3"/>
        <v>Physical Demand</v>
      </c>
      <c r="G32" t="str">
        <f t="shared" si="4"/>
        <v>Performance</v>
      </c>
      <c r="H32" t="str">
        <f t="shared" si="5"/>
        <v>Physical Demand</v>
      </c>
      <c r="I32" t="str">
        <f t="shared" si="6"/>
        <v>Physical Demand</v>
      </c>
      <c r="J32" t="str">
        <f t="shared" si="7"/>
        <v>Temporal Demand</v>
      </c>
      <c r="K32" t="str">
        <f t="shared" si="8"/>
        <v>Effort</v>
      </c>
      <c r="L32" t="str">
        <f t="shared" si="9"/>
        <v>Performance</v>
      </c>
      <c r="M32" t="str">
        <f t="shared" si="10"/>
        <v>Performance</v>
      </c>
      <c r="N32" t="str">
        <f t="shared" si="11"/>
        <v>Effort</v>
      </c>
      <c r="O32" t="str">
        <f t="shared" si="12"/>
        <v>Physical Demand</v>
      </c>
      <c r="P32" t="str">
        <f t="shared" si="13"/>
        <v>Physical Demand</v>
      </c>
      <c r="Q32" t="str">
        <f t="shared" si="14"/>
        <v>Mental Demand</v>
      </c>
      <c r="R32">
        <f t="shared" ref="R32:R58" si="15">COUNTIF(C32:Q32,R$30)</f>
        <v>1</v>
      </c>
      <c r="S32">
        <f t="shared" ref="S32:S58" si="16">COUNTIF(C32:Q32,S$30)</f>
        <v>5</v>
      </c>
      <c r="T32">
        <f t="shared" ref="T32:T58" si="17">COUNTIF(C32:Q32,T$30)</f>
        <v>2</v>
      </c>
      <c r="U32">
        <f t="shared" ref="U32:U58" si="18">COUNTIF(C32:Q32,U$30)</f>
        <v>3</v>
      </c>
      <c r="V32">
        <f t="shared" ref="V32:V58" si="19">COUNTIF(C32:Q32,V$30)</f>
        <v>4</v>
      </c>
      <c r="W32">
        <f t="shared" ref="W32:W58" si="20">COUNTIF(C32:Q32,W$30)</f>
        <v>0</v>
      </c>
      <c r="X32">
        <f t="shared" ref="X32:X58" si="21">SUM(R32:W32)</f>
        <v>15</v>
      </c>
    </row>
    <row r="33" spans="1:24" x14ac:dyDescent="0.25">
      <c r="A33" s="1">
        <v>3</v>
      </c>
      <c r="B33" s="1" t="s">
        <v>28</v>
      </c>
      <c r="C33" t="str">
        <f t="shared" si="0"/>
        <v>Effort</v>
      </c>
      <c r="D33" t="str">
        <f t="shared" si="1"/>
        <v>Temporal Demand</v>
      </c>
      <c r="E33" t="str">
        <f t="shared" si="2"/>
        <v>Effort</v>
      </c>
      <c r="F33" t="str">
        <f t="shared" si="3"/>
        <v>Physical Demand</v>
      </c>
      <c r="G33" t="str">
        <f t="shared" si="4"/>
        <v>Performance</v>
      </c>
      <c r="H33" t="str">
        <f t="shared" si="5"/>
        <v>Temporal Demand</v>
      </c>
      <c r="I33" t="str">
        <f t="shared" si="6"/>
        <v>Performance</v>
      </c>
      <c r="J33" t="str">
        <f t="shared" si="7"/>
        <v>Mental Demand</v>
      </c>
      <c r="K33" t="str">
        <f t="shared" si="8"/>
        <v>Effort</v>
      </c>
      <c r="L33" t="str">
        <f t="shared" si="9"/>
        <v>Mental Demand</v>
      </c>
      <c r="M33" t="str">
        <f t="shared" si="10"/>
        <v>Performance</v>
      </c>
      <c r="N33" t="str">
        <f t="shared" si="11"/>
        <v>Effort</v>
      </c>
      <c r="O33" t="str">
        <f t="shared" si="12"/>
        <v>Mental Demand</v>
      </c>
      <c r="P33" t="str">
        <f t="shared" si="13"/>
        <v>Effort</v>
      </c>
      <c r="Q33" t="str">
        <f t="shared" si="14"/>
        <v>Mental Demand</v>
      </c>
      <c r="R33">
        <f t="shared" si="15"/>
        <v>4</v>
      </c>
      <c r="S33">
        <f t="shared" si="16"/>
        <v>1</v>
      </c>
      <c r="T33">
        <f t="shared" si="17"/>
        <v>2</v>
      </c>
      <c r="U33">
        <f t="shared" si="18"/>
        <v>3</v>
      </c>
      <c r="V33">
        <f t="shared" si="19"/>
        <v>5</v>
      </c>
      <c r="W33">
        <f t="shared" si="20"/>
        <v>0</v>
      </c>
      <c r="X33">
        <f t="shared" si="21"/>
        <v>15</v>
      </c>
    </row>
    <row r="34" spans="1:24" x14ac:dyDescent="0.25">
      <c r="A34" s="1">
        <v>4</v>
      </c>
      <c r="B34" s="1" t="s">
        <v>28</v>
      </c>
      <c r="C34" t="str">
        <f t="shared" si="0"/>
        <v>Performance</v>
      </c>
      <c r="D34" t="str">
        <f t="shared" si="1"/>
        <v>Temporal Demand</v>
      </c>
      <c r="E34" t="str">
        <f t="shared" si="2"/>
        <v>Effort</v>
      </c>
      <c r="F34" t="str">
        <f t="shared" si="3"/>
        <v>Physical Demand</v>
      </c>
      <c r="G34" t="str">
        <f t="shared" si="4"/>
        <v>Performance</v>
      </c>
      <c r="H34" t="str">
        <f t="shared" si="5"/>
        <v>Temporal Demand</v>
      </c>
      <c r="I34" t="str">
        <f t="shared" si="6"/>
        <v>Performance</v>
      </c>
      <c r="J34" t="str">
        <f t="shared" si="7"/>
        <v>Mental Demand</v>
      </c>
      <c r="K34" t="str">
        <f t="shared" si="8"/>
        <v>Effort</v>
      </c>
      <c r="L34" t="str">
        <f t="shared" si="9"/>
        <v>Performance</v>
      </c>
      <c r="M34" t="str">
        <f t="shared" si="10"/>
        <v>Performance</v>
      </c>
      <c r="N34" t="str">
        <f t="shared" si="11"/>
        <v>Mental Demand</v>
      </c>
      <c r="O34" t="str">
        <f t="shared" si="12"/>
        <v>Mental Demand</v>
      </c>
      <c r="P34" t="str">
        <f t="shared" si="13"/>
        <v>Effort</v>
      </c>
      <c r="Q34" t="str">
        <f t="shared" si="14"/>
        <v>Mental Demand</v>
      </c>
      <c r="R34">
        <f t="shared" si="15"/>
        <v>4</v>
      </c>
      <c r="S34">
        <f t="shared" si="16"/>
        <v>1</v>
      </c>
      <c r="T34">
        <f t="shared" si="17"/>
        <v>2</v>
      </c>
      <c r="U34">
        <f t="shared" si="18"/>
        <v>5</v>
      </c>
      <c r="V34">
        <f t="shared" si="19"/>
        <v>3</v>
      </c>
      <c r="W34">
        <f t="shared" si="20"/>
        <v>0</v>
      </c>
      <c r="X34">
        <f t="shared" si="21"/>
        <v>15</v>
      </c>
    </row>
    <row r="35" spans="1:24" x14ac:dyDescent="0.25">
      <c r="A35" s="1">
        <v>5</v>
      </c>
      <c r="B35" s="1" t="s">
        <v>28</v>
      </c>
      <c r="C35" t="str">
        <f t="shared" si="0"/>
        <v>Effort</v>
      </c>
      <c r="D35" t="str">
        <f t="shared" si="1"/>
        <v>Frustration</v>
      </c>
      <c r="E35" t="str">
        <f t="shared" si="2"/>
        <v>Effort</v>
      </c>
      <c r="F35" t="str">
        <f t="shared" si="3"/>
        <v>Physical Demand</v>
      </c>
      <c r="G35" t="str">
        <f t="shared" si="4"/>
        <v>Performance</v>
      </c>
      <c r="H35" t="str">
        <f t="shared" si="5"/>
        <v>Physical Demand</v>
      </c>
      <c r="I35" t="str">
        <f t="shared" si="6"/>
        <v>Physical Demand</v>
      </c>
      <c r="J35" t="str">
        <f t="shared" si="7"/>
        <v>Mental Demand</v>
      </c>
      <c r="K35" t="str">
        <f t="shared" si="8"/>
        <v>Effort</v>
      </c>
      <c r="L35" t="str">
        <f t="shared" si="9"/>
        <v>Mental Demand</v>
      </c>
      <c r="M35" t="str">
        <f t="shared" si="10"/>
        <v>Performance</v>
      </c>
      <c r="N35" t="str">
        <f t="shared" si="11"/>
        <v>Mental Demand</v>
      </c>
      <c r="O35" t="str">
        <f t="shared" si="12"/>
        <v>Mental Demand</v>
      </c>
      <c r="P35" t="str">
        <f t="shared" si="13"/>
        <v>Effort</v>
      </c>
      <c r="Q35" t="str">
        <f t="shared" si="14"/>
        <v>Mental Demand</v>
      </c>
      <c r="R35">
        <f t="shared" si="15"/>
        <v>5</v>
      </c>
      <c r="S35">
        <f t="shared" si="16"/>
        <v>3</v>
      </c>
      <c r="T35">
        <f t="shared" si="17"/>
        <v>0</v>
      </c>
      <c r="U35">
        <f t="shared" si="18"/>
        <v>2</v>
      </c>
      <c r="V35">
        <f t="shared" si="19"/>
        <v>4</v>
      </c>
      <c r="W35">
        <f t="shared" si="20"/>
        <v>1</v>
      </c>
      <c r="X35">
        <f t="shared" si="21"/>
        <v>15</v>
      </c>
    </row>
    <row r="36" spans="1:24" x14ac:dyDescent="0.25">
      <c r="A36" s="1">
        <v>6</v>
      </c>
      <c r="B36" s="1" t="s">
        <v>28</v>
      </c>
      <c r="C36" t="str">
        <f t="shared" si="0"/>
        <v>Performance</v>
      </c>
      <c r="D36" t="str">
        <f t="shared" si="1"/>
        <v>Frustration</v>
      </c>
      <c r="E36" t="str">
        <f t="shared" si="2"/>
        <v>Effort</v>
      </c>
      <c r="F36" t="str">
        <f t="shared" si="3"/>
        <v>Physical Demand</v>
      </c>
      <c r="G36" t="str">
        <f t="shared" si="4"/>
        <v>Performance</v>
      </c>
      <c r="H36" t="str">
        <f t="shared" si="5"/>
        <v>Temporal Demand</v>
      </c>
      <c r="I36" t="str">
        <f t="shared" si="6"/>
        <v>Performance</v>
      </c>
      <c r="J36" t="str">
        <f t="shared" si="7"/>
        <v>Mental Demand</v>
      </c>
      <c r="K36" t="str">
        <f t="shared" si="8"/>
        <v>Frustration</v>
      </c>
      <c r="L36" t="str">
        <f t="shared" si="9"/>
        <v>Mental Demand</v>
      </c>
      <c r="M36" t="str">
        <f t="shared" si="10"/>
        <v>Temporal Demand</v>
      </c>
      <c r="N36" t="str">
        <f t="shared" si="11"/>
        <v>Effort</v>
      </c>
      <c r="O36" t="str">
        <f t="shared" si="12"/>
        <v>Physical Demand</v>
      </c>
      <c r="P36" t="str">
        <f t="shared" si="13"/>
        <v>Effort</v>
      </c>
      <c r="Q36" t="str">
        <f t="shared" si="14"/>
        <v>Frustration</v>
      </c>
      <c r="R36">
        <f t="shared" si="15"/>
        <v>2</v>
      </c>
      <c r="S36">
        <f t="shared" si="16"/>
        <v>2</v>
      </c>
      <c r="T36">
        <f t="shared" si="17"/>
        <v>2</v>
      </c>
      <c r="U36">
        <f t="shared" si="18"/>
        <v>3</v>
      </c>
      <c r="V36">
        <f t="shared" si="19"/>
        <v>3</v>
      </c>
      <c r="W36">
        <f t="shared" si="20"/>
        <v>3</v>
      </c>
      <c r="X36">
        <f t="shared" si="21"/>
        <v>15</v>
      </c>
    </row>
    <row r="37" spans="1:24" x14ac:dyDescent="0.25">
      <c r="A37" s="1">
        <v>7</v>
      </c>
      <c r="B37" s="1" t="s">
        <v>28</v>
      </c>
      <c r="C37" t="str">
        <f t="shared" si="0"/>
        <v>Performance</v>
      </c>
      <c r="D37" t="str">
        <f t="shared" si="1"/>
        <v>Temporal Demand</v>
      </c>
      <c r="E37" t="str">
        <f t="shared" si="2"/>
        <v>Temporal Demand</v>
      </c>
      <c r="F37" t="str">
        <f t="shared" si="3"/>
        <v>Frustration</v>
      </c>
      <c r="G37" t="str">
        <f t="shared" si="4"/>
        <v>Performance</v>
      </c>
      <c r="H37" t="str">
        <f t="shared" si="5"/>
        <v>Temporal Demand</v>
      </c>
      <c r="I37" t="str">
        <f t="shared" si="6"/>
        <v>Performance</v>
      </c>
      <c r="J37" t="str">
        <f t="shared" si="7"/>
        <v>Temporal Demand</v>
      </c>
      <c r="K37" t="str">
        <f t="shared" si="8"/>
        <v>Effort</v>
      </c>
      <c r="L37" t="str">
        <f t="shared" si="9"/>
        <v>Mental Demand</v>
      </c>
      <c r="M37" t="str">
        <f t="shared" si="10"/>
        <v>Temporal Demand</v>
      </c>
      <c r="N37" t="str">
        <f t="shared" si="11"/>
        <v>Mental Demand</v>
      </c>
      <c r="O37" t="str">
        <f t="shared" si="12"/>
        <v>Mental Demand</v>
      </c>
      <c r="P37" t="str">
        <f t="shared" si="13"/>
        <v>Effort</v>
      </c>
      <c r="Q37" t="str">
        <f t="shared" si="14"/>
        <v>Mental Demand</v>
      </c>
      <c r="R37">
        <f t="shared" si="15"/>
        <v>4</v>
      </c>
      <c r="S37">
        <f t="shared" si="16"/>
        <v>0</v>
      </c>
      <c r="T37">
        <f t="shared" si="17"/>
        <v>5</v>
      </c>
      <c r="U37">
        <f t="shared" si="18"/>
        <v>3</v>
      </c>
      <c r="V37">
        <f t="shared" si="19"/>
        <v>2</v>
      </c>
      <c r="W37">
        <f t="shared" si="20"/>
        <v>1</v>
      </c>
      <c r="X37">
        <f t="shared" si="21"/>
        <v>15</v>
      </c>
    </row>
    <row r="38" spans="1:24" x14ac:dyDescent="0.25">
      <c r="A38" s="1">
        <v>8</v>
      </c>
      <c r="B38" s="1" t="s">
        <v>28</v>
      </c>
      <c r="C38" t="str">
        <f t="shared" si="0"/>
        <v>Effort</v>
      </c>
      <c r="D38" t="str">
        <f t="shared" si="1"/>
        <v>Frustration</v>
      </c>
      <c r="E38" t="str">
        <f t="shared" si="2"/>
        <v>Effort</v>
      </c>
      <c r="F38" t="str">
        <f t="shared" si="3"/>
        <v>Physical Demand</v>
      </c>
      <c r="G38" t="str">
        <f t="shared" si="4"/>
        <v>Performance</v>
      </c>
      <c r="H38" t="str">
        <f t="shared" si="5"/>
        <v>Physical Demand</v>
      </c>
      <c r="I38" t="str">
        <f t="shared" si="6"/>
        <v>Physical Demand</v>
      </c>
      <c r="J38" t="str">
        <f t="shared" si="7"/>
        <v>Temporal Demand</v>
      </c>
      <c r="K38" t="str">
        <f t="shared" si="8"/>
        <v>Effort</v>
      </c>
      <c r="L38" t="str">
        <f t="shared" si="9"/>
        <v>Performance</v>
      </c>
      <c r="M38" t="str">
        <f t="shared" si="10"/>
        <v>Temporal Demand</v>
      </c>
      <c r="N38" t="str">
        <f t="shared" si="11"/>
        <v>Effort</v>
      </c>
      <c r="O38" t="str">
        <f t="shared" si="12"/>
        <v>Physical Demand</v>
      </c>
      <c r="P38" t="str">
        <f t="shared" si="13"/>
        <v>Effort</v>
      </c>
      <c r="Q38" t="str">
        <f t="shared" si="14"/>
        <v>Frustration</v>
      </c>
      <c r="R38">
        <f t="shared" si="15"/>
        <v>0</v>
      </c>
      <c r="S38">
        <f t="shared" si="16"/>
        <v>4</v>
      </c>
      <c r="T38">
        <f t="shared" si="17"/>
        <v>2</v>
      </c>
      <c r="U38">
        <f t="shared" si="18"/>
        <v>2</v>
      </c>
      <c r="V38">
        <f t="shared" si="19"/>
        <v>5</v>
      </c>
      <c r="W38">
        <f t="shared" si="20"/>
        <v>2</v>
      </c>
      <c r="X38">
        <f t="shared" si="21"/>
        <v>15</v>
      </c>
    </row>
    <row r="39" spans="1:24" x14ac:dyDescent="0.25">
      <c r="A39" s="1">
        <v>9</v>
      </c>
      <c r="B39" s="1" t="s">
        <v>28</v>
      </c>
      <c r="C39" t="str">
        <f t="shared" si="0"/>
        <v>Performance</v>
      </c>
      <c r="D39" t="str">
        <f t="shared" si="1"/>
        <v>Temporal Demand</v>
      </c>
      <c r="E39" t="str">
        <f t="shared" si="2"/>
        <v>Effort</v>
      </c>
      <c r="F39" t="str">
        <f t="shared" si="3"/>
        <v>Physical Demand</v>
      </c>
      <c r="G39" t="str">
        <f t="shared" si="4"/>
        <v>Performance</v>
      </c>
      <c r="H39" t="str">
        <f t="shared" si="5"/>
        <v>Physical Demand</v>
      </c>
      <c r="I39" t="str">
        <f t="shared" si="6"/>
        <v>Physical Demand</v>
      </c>
      <c r="J39" t="str">
        <f t="shared" si="7"/>
        <v>Mental Demand</v>
      </c>
      <c r="K39" t="str">
        <f t="shared" si="8"/>
        <v>Effort</v>
      </c>
      <c r="L39" t="str">
        <f t="shared" si="9"/>
        <v>Mental Demand</v>
      </c>
      <c r="M39" t="str">
        <f t="shared" si="10"/>
        <v>Performance</v>
      </c>
      <c r="N39" t="str">
        <f t="shared" si="11"/>
        <v>Mental Demand</v>
      </c>
      <c r="O39" t="str">
        <f t="shared" si="12"/>
        <v>Mental Demand</v>
      </c>
      <c r="P39" t="str">
        <f t="shared" si="13"/>
        <v>Physical Demand</v>
      </c>
      <c r="Q39" t="str">
        <f t="shared" si="14"/>
        <v>Mental Demand</v>
      </c>
      <c r="R39">
        <f t="shared" si="15"/>
        <v>5</v>
      </c>
      <c r="S39">
        <f t="shared" si="16"/>
        <v>4</v>
      </c>
      <c r="T39">
        <f t="shared" si="17"/>
        <v>1</v>
      </c>
      <c r="U39">
        <f t="shared" si="18"/>
        <v>3</v>
      </c>
      <c r="V39">
        <f t="shared" si="19"/>
        <v>2</v>
      </c>
      <c r="W39">
        <f t="shared" si="20"/>
        <v>0</v>
      </c>
      <c r="X39">
        <f t="shared" si="21"/>
        <v>15</v>
      </c>
    </row>
    <row r="40" spans="1:24" x14ac:dyDescent="0.25">
      <c r="A40" s="1">
        <v>10</v>
      </c>
      <c r="B40" s="1" t="s">
        <v>28</v>
      </c>
      <c r="C40" t="str">
        <f t="shared" si="0"/>
        <v>Performance</v>
      </c>
      <c r="D40" t="str">
        <f t="shared" si="1"/>
        <v>Temporal Demand</v>
      </c>
      <c r="E40" t="str">
        <f t="shared" si="2"/>
        <v>Temporal Demand</v>
      </c>
      <c r="F40" t="str">
        <f t="shared" si="3"/>
        <v>Physical Demand</v>
      </c>
      <c r="G40" t="str">
        <f t="shared" si="4"/>
        <v>Performance</v>
      </c>
      <c r="H40" t="str">
        <f t="shared" si="5"/>
        <v>Temporal Demand</v>
      </c>
      <c r="I40" t="str">
        <f t="shared" si="6"/>
        <v>Physical Demand</v>
      </c>
      <c r="J40" t="str">
        <f t="shared" si="7"/>
        <v>Temporal Demand</v>
      </c>
      <c r="K40" t="str">
        <f t="shared" si="8"/>
        <v>Effort</v>
      </c>
      <c r="L40" t="str">
        <f t="shared" si="9"/>
        <v>Mental Demand</v>
      </c>
      <c r="M40" t="str">
        <f t="shared" si="10"/>
        <v>Temporal Demand</v>
      </c>
      <c r="N40" t="str">
        <f t="shared" si="11"/>
        <v>Mental Demand</v>
      </c>
      <c r="O40" t="str">
        <f t="shared" si="12"/>
        <v>Mental Demand</v>
      </c>
      <c r="P40" t="str">
        <f t="shared" si="13"/>
        <v>Physical Demand</v>
      </c>
      <c r="Q40" t="str">
        <f t="shared" si="14"/>
        <v>Mental Demand</v>
      </c>
      <c r="R40">
        <f t="shared" si="15"/>
        <v>4</v>
      </c>
      <c r="S40">
        <f t="shared" si="16"/>
        <v>3</v>
      </c>
      <c r="T40">
        <f t="shared" si="17"/>
        <v>5</v>
      </c>
      <c r="U40">
        <f t="shared" si="18"/>
        <v>2</v>
      </c>
      <c r="V40">
        <f t="shared" si="19"/>
        <v>1</v>
      </c>
      <c r="W40">
        <f t="shared" si="20"/>
        <v>0</v>
      </c>
      <c r="X40">
        <f t="shared" si="21"/>
        <v>15</v>
      </c>
    </row>
    <row r="41" spans="1:24" x14ac:dyDescent="0.25">
      <c r="A41" s="1">
        <v>11</v>
      </c>
      <c r="B41" s="1" t="s">
        <v>28</v>
      </c>
      <c r="C41" t="str">
        <f t="shared" si="0"/>
        <v>Performance</v>
      </c>
      <c r="D41" t="str">
        <f t="shared" si="1"/>
        <v>Temporal Demand</v>
      </c>
      <c r="E41" t="str">
        <f t="shared" si="2"/>
        <v>Effort</v>
      </c>
      <c r="F41" t="str">
        <f t="shared" si="3"/>
        <v>Frustration</v>
      </c>
      <c r="G41" t="str">
        <f t="shared" si="4"/>
        <v>Performance</v>
      </c>
      <c r="H41" t="str">
        <f t="shared" si="5"/>
        <v>Temporal Demand</v>
      </c>
      <c r="I41" t="str">
        <f t="shared" si="6"/>
        <v>Performance</v>
      </c>
      <c r="J41" t="str">
        <f t="shared" si="7"/>
        <v>Mental Demand</v>
      </c>
      <c r="K41" t="str">
        <f t="shared" si="8"/>
        <v>Effort</v>
      </c>
      <c r="L41" t="str">
        <f t="shared" si="9"/>
        <v>Mental Demand</v>
      </c>
      <c r="M41" t="str">
        <f t="shared" si="10"/>
        <v>Performance</v>
      </c>
      <c r="N41" t="str">
        <f t="shared" si="11"/>
        <v>Mental Demand</v>
      </c>
      <c r="O41" t="str">
        <f t="shared" si="12"/>
        <v>Mental Demand</v>
      </c>
      <c r="P41" t="str">
        <f t="shared" si="13"/>
        <v>Effort</v>
      </c>
      <c r="Q41" t="str">
        <f t="shared" si="14"/>
        <v>Mental Demand</v>
      </c>
      <c r="R41">
        <f t="shared" si="15"/>
        <v>5</v>
      </c>
      <c r="S41">
        <f t="shared" si="16"/>
        <v>0</v>
      </c>
      <c r="T41">
        <f t="shared" si="17"/>
        <v>2</v>
      </c>
      <c r="U41">
        <f t="shared" si="18"/>
        <v>4</v>
      </c>
      <c r="V41">
        <f t="shared" si="19"/>
        <v>3</v>
      </c>
      <c r="W41">
        <f t="shared" si="20"/>
        <v>1</v>
      </c>
      <c r="X41">
        <f t="shared" si="21"/>
        <v>15</v>
      </c>
    </row>
    <row r="42" spans="1:24" x14ac:dyDescent="0.25">
      <c r="A42" s="1">
        <v>12</v>
      </c>
      <c r="B42" s="1" t="s">
        <v>28</v>
      </c>
      <c r="C42" t="str">
        <f t="shared" si="0"/>
        <v>Effort</v>
      </c>
      <c r="D42" t="str">
        <f t="shared" si="1"/>
        <v>Frustration</v>
      </c>
      <c r="E42" t="str">
        <f t="shared" si="2"/>
        <v>Effort</v>
      </c>
      <c r="F42" t="str">
        <f t="shared" si="3"/>
        <v>Frustration</v>
      </c>
      <c r="G42" t="str">
        <f t="shared" si="4"/>
        <v>Frustration</v>
      </c>
      <c r="H42" t="str">
        <f t="shared" si="5"/>
        <v>Temporal Demand</v>
      </c>
      <c r="I42" t="str">
        <f t="shared" si="6"/>
        <v>Performance</v>
      </c>
      <c r="J42" t="str">
        <f t="shared" si="7"/>
        <v>Mental Demand</v>
      </c>
      <c r="K42" t="str">
        <f t="shared" si="8"/>
        <v>Frustration</v>
      </c>
      <c r="L42" t="str">
        <f t="shared" si="9"/>
        <v>Mental Demand</v>
      </c>
      <c r="M42" t="str">
        <f t="shared" si="10"/>
        <v>Temporal Demand</v>
      </c>
      <c r="N42" t="str">
        <f t="shared" si="11"/>
        <v>Mental Demand</v>
      </c>
      <c r="O42" t="str">
        <f t="shared" si="12"/>
        <v>Mental Demand</v>
      </c>
      <c r="P42" t="str">
        <f t="shared" si="13"/>
        <v>Effort</v>
      </c>
      <c r="Q42" t="str">
        <f t="shared" si="14"/>
        <v>Mental Demand</v>
      </c>
      <c r="R42">
        <f t="shared" si="15"/>
        <v>5</v>
      </c>
      <c r="S42">
        <f t="shared" si="16"/>
        <v>0</v>
      </c>
      <c r="T42">
        <f t="shared" si="17"/>
        <v>2</v>
      </c>
      <c r="U42">
        <f t="shared" si="18"/>
        <v>1</v>
      </c>
      <c r="V42">
        <f t="shared" si="19"/>
        <v>3</v>
      </c>
      <c r="W42">
        <f t="shared" si="20"/>
        <v>4</v>
      </c>
      <c r="X42">
        <f t="shared" si="21"/>
        <v>15</v>
      </c>
    </row>
    <row r="43" spans="1:24" x14ac:dyDescent="0.25">
      <c r="A43" s="1">
        <v>13</v>
      </c>
      <c r="B43" s="1" t="s">
        <v>28</v>
      </c>
      <c r="C43" t="str">
        <f t="shared" si="0"/>
        <v>Effort</v>
      </c>
      <c r="D43" t="str">
        <f t="shared" si="1"/>
        <v>Temporal Demand</v>
      </c>
      <c r="E43" t="str">
        <f t="shared" si="2"/>
        <v>Temporal Demand</v>
      </c>
      <c r="F43" t="str">
        <f t="shared" si="3"/>
        <v>Physical Demand</v>
      </c>
      <c r="G43" t="str">
        <f t="shared" si="4"/>
        <v>Performance</v>
      </c>
      <c r="H43" t="str">
        <f t="shared" si="5"/>
        <v>Temporal Demand</v>
      </c>
      <c r="I43" t="str">
        <f t="shared" si="6"/>
        <v>Physical Demand</v>
      </c>
      <c r="J43" t="str">
        <f t="shared" si="7"/>
        <v>Temporal Demand</v>
      </c>
      <c r="K43" t="str">
        <f t="shared" si="8"/>
        <v>Effort</v>
      </c>
      <c r="L43" t="str">
        <f t="shared" si="9"/>
        <v>Performance</v>
      </c>
      <c r="M43" t="str">
        <f t="shared" si="10"/>
        <v>Temporal Demand</v>
      </c>
      <c r="N43" t="str">
        <f t="shared" si="11"/>
        <v>Effort</v>
      </c>
      <c r="O43" t="str">
        <f t="shared" si="12"/>
        <v>Mental Demand</v>
      </c>
      <c r="P43" t="str">
        <f t="shared" si="13"/>
        <v>Effort</v>
      </c>
      <c r="Q43" t="str">
        <f t="shared" si="14"/>
        <v>Frustration</v>
      </c>
      <c r="R43">
        <f t="shared" si="15"/>
        <v>1</v>
      </c>
      <c r="S43">
        <f t="shared" si="16"/>
        <v>2</v>
      </c>
      <c r="T43">
        <f t="shared" si="17"/>
        <v>5</v>
      </c>
      <c r="U43">
        <f t="shared" si="18"/>
        <v>2</v>
      </c>
      <c r="V43">
        <f t="shared" si="19"/>
        <v>4</v>
      </c>
      <c r="W43">
        <f t="shared" si="20"/>
        <v>1</v>
      </c>
      <c r="X43">
        <f t="shared" si="21"/>
        <v>15</v>
      </c>
    </row>
    <row r="44" spans="1:24" x14ac:dyDescent="0.25">
      <c r="A44" s="1">
        <v>14</v>
      </c>
      <c r="B44" s="1" t="s">
        <v>28</v>
      </c>
      <c r="C44" t="str">
        <f t="shared" si="0"/>
        <v>Effort</v>
      </c>
      <c r="D44" t="str">
        <f t="shared" si="1"/>
        <v>Frustration</v>
      </c>
      <c r="E44" t="str">
        <f t="shared" si="2"/>
        <v>Effort</v>
      </c>
      <c r="F44" t="str">
        <f t="shared" si="3"/>
        <v>Physical Demand</v>
      </c>
      <c r="G44" t="str">
        <f t="shared" si="4"/>
        <v>Frustration</v>
      </c>
      <c r="H44" t="str">
        <f t="shared" si="5"/>
        <v>Physical Demand</v>
      </c>
      <c r="I44" t="str">
        <f t="shared" si="6"/>
        <v>Performance</v>
      </c>
      <c r="J44" t="str">
        <f t="shared" si="7"/>
        <v>Mental Demand</v>
      </c>
      <c r="K44" t="str">
        <f t="shared" si="8"/>
        <v>Frustration</v>
      </c>
      <c r="L44" t="str">
        <f t="shared" si="9"/>
        <v>Mental Demand</v>
      </c>
      <c r="M44" t="str">
        <f t="shared" si="10"/>
        <v>Performance</v>
      </c>
      <c r="N44" t="str">
        <f t="shared" si="11"/>
        <v>Mental Demand</v>
      </c>
      <c r="O44" t="str">
        <f t="shared" si="12"/>
        <v>Mental Demand</v>
      </c>
      <c r="P44" t="str">
        <f t="shared" si="13"/>
        <v>Effort</v>
      </c>
      <c r="Q44" t="str">
        <f t="shared" si="14"/>
        <v>Frustration</v>
      </c>
      <c r="R44">
        <f t="shared" si="15"/>
        <v>4</v>
      </c>
      <c r="S44">
        <f t="shared" si="16"/>
        <v>2</v>
      </c>
      <c r="T44">
        <f t="shared" si="17"/>
        <v>0</v>
      </c>
      <c r="U44">
        <f t="shared" si="18"/>
        <v>2</v>
      </c>
      <c r="V44">
        <f t="shared" si="19"/>
        <v>3</v>
      </c>
      <c r="W44">
        <f t="shared" si="20"/>
        <v>4</v>
      </c>
      <c r="X44">
        <f t="shared" si="21"/>
        <v>15</v>
      </c>
    </row>
    <row r="45" spans="1:24" x14ac:dyDescent="0.25">
      <c r="A45" s="1">
        <v>15</v>
      </c>
      <c r="B45" s="1" t="s">
        <v>28</v>
      </c>
      <c r="C45" t="str">
        <f t="shared" si="0"/>
        <v>Effort</v>
      </c>
      <c r="D45" t="str">
        <f t="shared" si="1"/>
        <v>Temporal Demand</v>
      </c>
      <c r="E45" t="str">
        <f t="shared" si="2"/>
        <v>Temporal Demand</v>
      </c>
      <c r="F45" t="str">
        <f t="shared" si="3"/>
        <v>Frustration</v>
      </c>
      <c r="G45" t="str">
        <f t="shared" si="4"/>
        <v>Performance</v>
      </c>
      <c r="H45" t="str">
        <f t="shared" si="5"/>
        <v>Temporal Demand</v>
      </c>
      <c r="I45" t="str">
        <f t="shared" si="6"/>
        <v>Physical Demand</v>
      </c>
      <c r="J45" t="str">
        <f t="shared" si="7"/>
        <v>Temporal Demand</v>
      </c>
      <c r="K45" t="str">
        <f t="shared" si="8"/>
        <v>Effort</v>
      </c>
      <c r="L45" t="str">
        <f t="shared" si="9"/>
        <v>Performance</v>
      </c>
      <c r="M45" t="str">
        <f t="shared" si="10"/>
        <v>Temporal Demand</v>
      </c>
      <c r="N45" t="str">
        <f t="shared" si="11"/>
        <v>Effort</v>
      </c>
      <c r="O45" t="str">
        <f t="shared" si="12"/>
        <v>Physical Demand</v>
      </c>
      <c r="P45" t="str">
        <f t="shared" si="13"/>
        <v>Effort</v>
      </c>
      <c r="Q45" t="str">
        <f t="shared" si="14"/>
        <v>Frustration</v>
      </c>
      <c r="R45">
        <f t="shared" si="15"/>
        <v>0</v>
      </c>
      <c r="S45">
        <f t="shared" si="16"/>
        <v>2</v>
      </c>
      <c r="T45">
        <f t="shared" si="17"/>
        <v>5</v>
      </c>
      <c r="U45">
        <f t="shared" si="18"/>
        <v>2</v>
      </c>
      <c r="V45">
        <f t="shared" si="19"/>
        <v>4</v>
      </c>
      <c r="W45">
        <f t="shared" si="20"/>
        <v>2</v>
      </c>
      <c r="X45">
        <f t="shared" si="21"/>
        <v>15</v>
      </c>
    </row>
    <row r="46" spans="1:24" x14ac:dyDescent="0.25">
      <c r="A46" s="1">
        <v>16</v>
      </c>
      <c r="B46" s="1" t="s">
        <v>28</v>
      </c>
      <c r="C46" t="str">
        <f t="shared" si="0"/>
        <v>Performance</v>
      </c>
      <c r="D46" t="str">
        <f t="shared" si="1"/>
        <v>Temporal Demand</v>
      </c>
      <c r="E46" t="str">
        <f t="shared" si="2"/>
        <v>Temporal Demand</v>
      </c>
      <c r="F46" t="str">
        <f t="shared" si="3"/>
        <v>Physical Demand</v>
      </c>
      <c r="G46" t="str">
        <f t="shared" si="4"/>
        <v>Frustration</v>
      </c>
      <c r="H46" t="str">
        <f t="shared" si="5"/>
        <v>Temporal Demand</v>
      </c>
      <c r="I46" t="str">
        <f t="shared" si="6"/>
        <v>Physical Demand</v>
      </c>
      <c r="J46" t="str">
        <f t="shared" si="7"/>
        <v>Temporal Demand</v>
      </c>
      <c r="K46" t="str">
        <f t="shared" si="8"/>
        <v>Frustration</v>
      </c>
      <c r="L46" t="str">
        <f t="shared" si="9"/>
        <v>Performance</v>
      </c>
      <c r="M46" t="str">
        <f t="shared" si="10"/>
        <v>Temporal Demand</v>
      </c>
      <c r="N46" t="str">
        <f t="shared" si="11"/>
        <v>Mental Demand</v>
      </c>
      <c r="O46" t="str">
        <f t="shared" si="12"/>
        <v>Physical Demand</v>
      </c>
      <c r="P46" t="str">
        <f t="shared" si="13"/>
        <v>Physical Demand</v>
      </c>
      <c r="Q46" t="str">
        <f t="shared" si="14"/>
        <v>Frustration</v>
      </c>
      <c r="R46">
        <f t="shared" si="15"/>
        <v>1</v>
      </c>
      <c r="S46">
        <f t="shared" si="16"/>
        <v>4</v>
      </c>
      <c r="T46">
        <f t="shared" si="17"/>
        <v>5</v>
      </c>
      <c r="U46">
        <f t="shared" si="18"/>
        <v>2</v>
      </c>
      <c r="V46">
        <f t="shared" si="19"/>
        <v>0</v>
      </c>
      <c r="W46">
        <f t="shared" si="20"/>
        <v>3</v>
      </c>
      <c r="X46">
        <f t="shared" si="21"/>
        <v>15</v>
      </c>
    </row>
    <row r="47" spans="1:24" x14ac:dyDescent="0.25">
      <c r="A47" s="1">
        <v>17</v>
      </c>
      <c r="B47" s="1" t="s">
        <v>28</v>
      </c>
      <c r="C47" t="str">
        <f t="shared" si="0"/>
        <v>Performance</v>
      </c>
      <c r="D47" t="str">
        <f t="shared" si="1"/>
        <v>Temporal Demand</v>
      </c>
      <c r="E47" t="str">
        <f t="shared" si="2"/>
        <v>Temporal Demand</v>
      </c>
      <c r="F47" t="str">
        <f t="shared" si="3"/>
        <v>Frustration</v>
      </c>
      <c r="G47" t="str">
        <f t="shared" si="4"/>
        <v>Performance</v>
      </c>
      <c r="H47" t="str">
        <f t="shared" si="5"/>
        <v>Temporal Demand</v>
      </c>
      <c r="I47" t="str">
        <f t="shared" si="6"/>
        <v>Performance</v>
      </c>
      <c r="J47" t="str">
        <f t="shared" si="7"/>
        <v>Temporal Demand</v>
      </c>
      <c r="K47" t="str">
        <f t="shared" si="8"/>
        <v>Effort</v>
      </c>
      <c r="L47" t="str">
        <f t="shared" si="9"/>
        <v>Performance</v>
      </c>
      <c r="M47" t="str">
        <f t="shared" si="10"/>
        <v>Performance</v>
      </c>
      <c r="N47" t="str">
        <f t="shared" si="11"/>
        <v>Effort</v>
      </c>
      <c r="O47" t="str">
        <f t="shared" si="12"/>
        <v>Mental Demand</v>
      </c>
      <c r="P47" t="str">
        <f t="shared" si="13"/>
        <v>Effort</v>
      </c>
      <c r="Q47" t="str">
        <f t="shared" si="14"/>
        <v>Frustration</v>
      </c>
      <c r="R47">
        <f t="shared" si="15"/>
        <v>1</v>
      </c>
      <c r="S47">
        <f t="shared" si="16"/>
        <v>0</v>
      </c>
      <c r="T47">
        <f t="shared" si="17"/>
        <v>4</v>
      </c>
      <c r="U47">
        <f t="shared" si="18"/>
        <v>5</v>
      </c>
      <c r="V47">
        <f t="shared" si="19"/>
        <v>3</v>
      </c>
      <c r="W47">
        <f t="shared" si="20"/>
        <v>2</v>
      </c>
      <c r="X47">
        <f t="shared" si="21"/>
        <v>15</v>
      </c>
    </row>
    <row r="48" spans="1:24" x14ac:dyDescent="0.25">
      <c r="A48" s="1">
        <v>18</v>
      </c>
      <c r="B48" s="1" t="s">
        <v>28</v>
      </c>
      <c r="C48" t="str">
        <f t="shared" si="0"/>
        <v>Effort</v>
      </c>
      <c r="D48" t="str">
        <f t="shared" si="1"/>
        <v>Temporal Demand</v>
      </c>
      <c r="E48" t="str">
        <f t="shared" si="2"/>
        <v>Temporal Demand</v>
      </c>
      <c r="F48" t="str">
        <f t="shared" si="3"/>
        <v>Physical Demand</v>
      </c>
      <c r="G48" t="str">
        <f t="shared" si="4"/>
        <v>Performance</v>
      </c>
      <c r="H48" t="str">
        <f t="shared" si="5"/>
        <v>Temporal Demand</v>
      </c>
      <c r="I48" t="str">
        <f t="shared" si="6"/>
        <v>Physical Demand</v>
      </c>
      <c r="J48" t="str">
        <f t="shared" si="7"/>
        <v>Temporal Demand</v>
      </c>
      <c r="K48" t="str">
        <f t="shared" si="8"/>
        <v>Effort</v>
      </c>
      <c r="L48" t="str">
        <f t="shared" si="9"/>
        <v>Mental Demand</v>
      </c>
      <c r="M48" t="str">
        <f t="shared" si="10"/>
        <v>Performance</v>
      </c>
      <c r="N48" t="str">
        <f t="shared" si="11"/>
        <v>Effort</v>
      </c>
      <c r="O48" t="str">
        <f t="shared" si="12"/>
        <v>Physical Demand</v>
      </c>
      <c r="P48" t="str">
        <f t="shared" si="13"/>
        <v>Physical Demand</v>
      </c>
      <c r="Q48" t="str">
        <f t="shared" si="14"/>
        <v>Mental Demand</v>
      </c>
      <c r="R48">
        <f t="shared" si="15"/>
        <v>2</v>
      </c>
      <c r="S48">
        <f t="shared" si="16"/>
        <v>4</v>
      </c>
      <c r="T48">
        <f t="shared" si="17"/>
        <v>4</v>
      </c>
      <c r="U48">
        <f t="shared" si="18"/>
        <v>2</v>
      </c>
      <c r="V48">
        <f t="shared" si="19"/>
        <v>3</v>
      </c>
      <c r="W48">
        <f t="shared" si="20"/>
        <v>0</v>
      </c>
      <c r="X48">
        <f t="shared" si="21"/>
        <v>15</v>
      </c>
    </row>
    <row r="49" spans="1:24" x14ac:dyDescent="0.25">
      <c r="A49" s="1">
        <v>19</v>
      </c>
      <c r="B49" s="1" t="s">
        <v>28</v>
      </c>
      <c r="C49" t="str">
        <f t="shared" si="0"/>
        <v>Effort</v>
      </c>
      <c r="D49" t="str">
        <f t="shared" si="1"/>
        <v>Temporal Demand</v>
      </c>
      <c r="E49" t="str">
        <f t="shared" si="2"/>
        <v>Effort</v>
      </c>
      <c r="F49" t="str">
        <f t="shared" si="3"/>
        <v>Physical Demand</v>
      </c>
      <c r="G49" t="str">
        <f t="shared" si="4"/>
        <v>Performance</v>
      </c>
      <c r="H49" t="str">
        <f t="shared" si="5"/>
        <v>Temporal Demand</v>
      </c>
      <c r="I49" t="str">
        <f t="shared" si="6"/>
        <v>Physical Demand</v>
      </c>
      <c r="J49" t="str">
        <f t="shared" si="7"/>
        <v>Temporal Demand</v>
      </c>
      <c r="K49" t="str">
        <f t="shared" si="8"/>
        <v>Effort</v>
      </c>
      <c r="L49" t="str">
        <f t="shared" si="9"/>
        <v>Mental Demand</v>
      </c>
      <c r="M49" t="str">
        <f t="shared" si="10"/>
        <v>Temporal Demand</v>
      </c>
      <c r="N49" t="str">
        <f t="shared" si="11"/>
        <v>Mental Demand</v>
      </c>
      <c r="O49" t="str">
        <f t="shared" si="12"/>
        <v>Mental Demand</v>
      </c>
      <c r="P49" t="str">
        <f t="shared" si="13"/>
        <v>Physical Demand</v>
      </c>
      <c r="Q49" t="str">
        <f t="shared" si="14"/>
        <v>Mental Demand</v>
      </c>
      <c r="R49">
        <f t="shared" si="15"/>
        <v>4</v>
      </c>
      <c r="S49">
        <f t="shared" si="16"/>
        <v>3</v>
      </c>
      <c r="T49">
        <f t="shared" si="17"/>
        <v>4</v>
      </c>
      <c r="U49">
        <f t="shared" si="18"/>
        <v>1</v>
      </c>
      <c r="V49">
        <f t="shared" si="19"/>
        <v>3</v>
      </c>
      <c r="W49">
        <f t="shared" si="20"/>
        <v>0</v>
      </c>
      <c r="X49">
        <f t="shared" si="21"/>
        <v>15</v>
      </c>
    </row>
    <row r="50" spans="1:24" x14ac:dyDescent="0.25">
      <c r="A50" s="1">
        <v>20</v>
      </c>
      <c r="B50" s="1" t="s">
        <v>28</v>
      </c>
      <c r="C50" t="str">
        <f t="shared" si="0"/>
        <v>Performance</v>
      </c>
      <c r="D50" t="str">
        <f t="shared" si="1"/>
        <v>Temporal Demand</v>
      </c>
      <c r="E50" t="str">
        <f t="shared" si="2"/>
        <v>Temporal Demand</v>
      </c>
      <c r="F50" t="str">
        <f t="shared" si="3"/>
        <v>Physical Demand</v>
      </c>
      <c r="G50" t="str">
        <f t="shared" si="4"/>
        <v>Performance</v>
      </c>
      <c r="H50" t="str">
        <f t="shared" si="5"/>
        <v>Temporal Demand</v>
      </c>
      <c r="I50" t="str">
        <f t="shared" si="6"/>
        <v>Performance</v>
      </c>
      <c r="J50" t="str">
        <f t="shared" si="7"/>
        <v>Temporal Demand</v>
      </c>
      <c r="K50" t="str">
        <f t="shared" si="8"/>
        <v>Effort</v>
      </c>
      <c r="L50" t="str">
        <f t="shared" si="9"/>
        <v>Mental Demand</v>
      </c>
      <c r="M50" t="str">
        <f t="shared" si="10"/>
        <v>Temporal Demand</v>
      </c>
      <c r="N50" t="str">
        <f t="shared" si="11"/>
        <v>Mental Demand</v>
      </c>
      <c r="O50" t="str">
        <f t="shared" si="12"/>
        <v>Mental Demand</v>
      </c>
      <c r="P50" t="str">
        <f t="shared" si="13"/>
        <v>Effort</v>
      </c>
      <c r="Q50" t="str">
        <f t="shared" si="14"/>
        <v>Mental Demand</v>
      </c>
      <c r="R50">
        <f t="shared" si="15"/>
        <v>4</v>
      </c>
      <c r="S50">
        <f t="shared" si="16"/>
        <v>1</v>
      </c>
      <c r="T50">
        <f t="shared" si="17"/>
        <v>5</v>
      </c>
      <c r="U50">
        <f t="shared" si="18"/>
        <v>3</v>
      </c>
      <c r="V50">
        <f t="shared" si="19"/>
        <v>2</v>
      </c>
      <c r="W50">
        <f t="shared" si="20"/>
        <v>0</v>
      </c>
      <c r="X50">
        <f t="shared" si="21"/>
        <v>15</v>
      </c>
    </row>
    <row r="51" spans="1:24" x14ac:dyDescent="0.25">
      <c r="A51" s="1">
        <v>21</v>
      </c>
      <c r="B51" s="1" t="s">
        <v>28</v>
      </c>
      <c r="C51" t="str">
        <f t="shared" si="0"/>
        <v>Effort</v>
      </c>
      <c r="D51" t="str">
        <f t="shared" si="1"/>
        <v>Temporal Demand</v>
      </c>
      <c r="E51" t="str">
        <f t="shared" si="2"/>
        <v>Effort</v>
      </c>
      <c r="F51" t="str">
        <f t="shared" si="3"/>
        <v>Physical Demand</v>
      </c>
      <c r="G51" t="str">
        <f t="shared" si="4"/>
        <v>Performance</v>
      </c>
      <c r="H51" t="str">
        <f t="shared" si="5"/>
        <v>Physical Demand</v>
      </c>
      <c r="I51" t="str">
        <f t="shared" si="6"/>
        <v>Physical Demand</v>
      </c>
      <c r="J51" t="str">
        <f t="shared" si="7"/>
        <v>Temporal Demand</v>
      </c>
      <c r="K51" t="str">
        <f t="shared" si="8"/>
        <v>Effort</v>
      </c>
      <c r="L51" t="str">
        <f t="shared" si="9"/>
        <v>Mental Demand</v>
      </c>
      <c r="M51" t="str">
        <f t="shared" si="10"/>
        <v>Performance</v>
      </c>
      <c r="N51" t="str">
        <f t="shared" si="11"/>
        <v>Mental Demand</v>
      </c>
      <c r="O51" t="str">
        <f t="shared" si="12"/>
        <v>Mental Demand</v>
      </c>
      <c r="P51" t="str">
        <f t="shared" si="13"/>
        <v>Physical Demand</v>
      </c>
      <c r="Q51" t="str">
        <f t="shared" si="14"/>
        <v>Frustration</v>
      </c>
      <c r="R51">
        <f t="shared" si="15"/>
        <v>3</v>
      </c>
      <c r="S51">
        <f t="shared" si="16"/>
        <v>4</v>
      </c>
      <c r="T51">
        <f t="shared" si="17"/>
        <v>2</v>
      </c>
      <c r="U51">
        <f t="shared" si="18"/>
        <v>2</v>
      </c>
      <c r="V51">
        <f t="shared" si="19"/>
        <v>3</v>
      </c>
      <c r="W51">
        <f t="shared" si="20"/>
        <v>1</v>
      </c>
      <c r="X51">
        <f t="shared" si="21"/>
        <v>15</v>
      </c>
    </row>
    <row r="52" spans="1:24" x14ac:dyDescent="0.25">
      <c r="A52" s="1">
        <v>23</v>
      </c>
      <c r="B52" s="1" t="s">
        <v>28</v>
      </c>
      <c r="C52" t="str">
        <f t="shared" si="0"/>
        <v>Performance</v>
      </c>
      <c r="D52" t="str">
        <f t="shared" si="1"/>
        <v>Temporal Demand</v>
      </c>
      <c r="E52" t="str">
        <f t="shared" si="2"/>
        <v>Temporal Demand</v>
      </c>
      <c r="F52" t="str">
        <f t="shared" si="3"/>
        <v>Physical Demand</v>
      </c>
      <c r="G52" t="str">
        <f t="shared" si="4"/>
        <v>Performance</v>
      </c>
      <c r="H52" t="str">
        <f t="shared" si="5"/>
        <v>Temporal Demand</v>
      </c>
      <c r="I52" t="str">
        <f t="shared" si="6"/>
        <v>Physical Demand</v>
      </c>
      <c r="J52" t="str">
        <f t="shared" si="7"/>
        <v>Temporal Demand</v>
      </c>
      <c r="K52" t="str">
        <f t="shared" si="8"/>
        <v>Effort</v>
      </c>
      <c r="L52" t="str">
        <f t="shared" si="9"/>
        <v>Mental Demand</v>
      </c>
      <c r="M52" t="str">
        <f t="shared" si="10"/>
        <v>Temporal Demand</v>
      </c>
      <c r="N52" t="str">
        <f t="shared" si="11"/>
        <v>Mental Demand</v>
      </c>
      <c r="O52" t="str">
        <f t="shared" si="12"/>
        <v>Mental Demand</v>
      </c>
      <c r="P52" t="str">
        <f t="shared" si="13"/>
        <v>Effort</v>
      </c>
      <c r="Q52" t="str">
        <f t="shared" si="14"/>
        <v>Mental Demand</v>
      </c>
      <c r="R52">
        <f t="shared" si="15"/>
        <v>4</v>
      </c>
      <c r="S52">
        <f t="shared" si="16"/>
        <v>2</v>
      </c>
      <c r="T52">
        <f t="shared" si="17"/>
        <v>5</v>
      </c>
      <c r="U52">
        <f t="shared" si="18"/>
        <v>2</v>
      </c>
      <c r="V52">
        <f t="shared" si="19"/>
        <v>2</v>
      </c>
      <c r="W52">
        <f t="shared" si="20"/>
        <v>0</v>
      </c>
      <c r="X52">
        <f t="shared" si="21"/>
        <v>15</v>
      </c>
    </row>
    <row r="53" spans="1:24" x14ac:dyDescent="0.25">
      <c r="A53" s="1">
        <v>24</v>
      </c>
      <c r="B53" s="1" t="s">
        <v>28</v>
      </c>
      <c r="C53" t="str">
        <f t="shared" si="0"/>
        <v>Effort</v>
      </c>
      <c r="D53" t="str">
        <f t="shared" si="1"/>
        <v>Temporal Demand</v>
      </c>
      <c r="E53" t="str">
        <f t="shared" si="2"/>
        <v>Temporal Demand</v>
      </c>
      <c r="F53" t="str">
        <f t="shared" si="3"/>
        <v>Physical Demand</v>
      </c>
      <c r="G53" t="str">
        <f t="shared" si="4"/>
        <v>Performance</v>
      </c>
      <c r="H53" t="str">
        <f t="shared" si="5"/>
        <v>Temporal Demand</v>
      </c>
      <c r="I53" t="str">
        <f t="shared" si="6"/>
        <v>Performance</v>
      </c>
      <c r="J53" t="str">
        <f t="shared" si="7"/>
        <v>Mental Demand</v>
      </c>
      <c r="K53" t="str">
        <f t="shared" si="8"/>
        <v>Effort</v>
      </c>
      <c r="L53" t="str">
        <f t="shared" si="9"/>
        <v>Mental Demand</v>
      </c>
      <c r="M53" t="str">
        <f t="shared" si="10"/>
        <v>Performance</v>
      </c>
      <c r="N53" t="str">
        <f t="shared" si="11"/>
        <v>Mental Demand</v>
      </c>
      <c r="O53" t="str">
        <f t="shared" si="12"/>
        <v>Physical Demand</v>
      </c>
      <c r="P53" t="str">
        <f t="shared" si="13"/>
        <v>Effort</v>
      </c>
      <c r="Q53" t="str">
        <f t="shared" si="14"/>
        <v>Mental Demand</v>
      </c>
      <c r="R53">
        <f t="shared" si="15"/>
        <v>4</v>
      </c>
      <c r="S53">
        <f t="shared" si="16"/>
        <v>2</v>
      </c>
      <c r="T53">
        <f t="shared" si="17"/>
        <v>3</v>
      </c>
      <c r="U53">
        <f t="shared" si="18"/>
        <v>3</v>
      </c>
      <c r="V53">
        <f t="shared" si="19"/>
        <v>3</v>
      </c>
      <c r="W53">
        <f t="shared" si="20"/>
        <v>0</v>
      </c>
      <c r="X53">
        <f t="shared" si="21"/>
        <v>15</v>
      </c>
    </row>
    <row r="54" spans="1:24" x14ac:dyDescent="0.25">
      <c r="A54" s="1">
        <v>25</v>
      </c>
      <c r="B54" s="1" t="s">
        <v>28</v>
      </c>
      <c r="C54" t="str">
        <f t="shared" si="0"/>
        <v>Performance</v>
      </c>
      <c r="D54" t="str">
        <f t="shared" si="1"/>
        <v>Temporal Demand</v>
      </c>
      <c r="E54" t="str">
        <f t="shared" si="2"/>
        <v>Temporal Demand</v>
      </c>
      <c r="F54" t="str">
        <f t="shared" si="3"/>
        <v>Physical Demand</v>
      </c>
      <c r="G54" t="str">
        <f t="shared" si="4"/>
        <v>Performance</v>
      </c>
      <c r="H54" t="str">
        <f t="shared" si="5"/>
        <v>Temporal Demand</v>
      </c>
      <c r="I54" t="str">
        <f t="shared" si="6"/>
        <v>Physical Demand</v>
      </c>
      <c r="J54" t="str">
        <f t="shared" si="7"/>
        <v>Temporal Demand</v>
      </c>
      <c r="K54" t="str">
        <f t="shared" si="8"/>
        <v>Effort</v>
      </c>
      <c r="L54" t="str">
        <f t="shared" si="9"/>
        <v>Mental Demand</v>
      </c>
      <c r="M54" t="str">
        <f t="shared" si="10"/>
        <v>Temporal Demand</v>
      </c>
      <c r="N54" t="str">
        <f t="shared" si="11"/>
        <v>Mental Demand</v>
      </c>
      <c r="O54" t="str">
        <f t="shared" si="12"/>
        <v>Mental Demand</v>
      </c>
      <c r="P54" t="str">
        <f t="shared" si="13"/>
        <v>Effort</v>
      </c>
      <c r="Q54" t="str">
        <f t="shared" si="14"/>
        <v>Mental Demand</v>
      </c>
      <c r="R54">
        <f t="shared" si="15"/>
        <v>4</v>
      </c>
      <c r="S54">
        <f t="shared" si="16"/>
        <v>2</v>
      </c>
      <c r="T54">
        <f t="shared" si="17"/>
        <v>5</v>
      </c>
      <c r="U54">
        <f t="shared" si="18"/>
        <v>2</v>
      </c>
      <c r="V54">
        <f t="shared" si="19"/>
        <v>2</v>
      </c>
      <c r="W54">
        <f t="shared" si="20"/>
        <v>0</v>
      </c>
      <c r="X54">
        <f t="shared" si="21"/>
        <v>15</v>
      </c>
    </row>
    <row r="55" spans="1:24" x14ac:dyDescent="0.25">
      <c r="A55" s="1">
        <v>26</v>
      </c>
      <c r="B55" s="1" t="s">
        <v>28</v>
      </c>
      <c r="C55" t="str">
        <f t="shared" si="0"/>
        <v>Performance</v>
      </c>
      <c r="D55" t="str">
        <f t="shared" si="1"/>
        <v>Frustration</v>
      </c>
      <c r="E55" t="str">
        <f t="shared" si="2"/>
        <v>Temporal Demand</v>
      </c>
      <c r="F55" t="str">
        <f t="shared" si="3"/>
        <v>Frustration</v>
      </c>
      <c r="G55" t="str">
        <f t="shared" si="4"/>
        <v>Frustration</v>
      </c>
      <c r="H55" t="str">
        <f t="shared" si="5"/>
        <v>Temporal Demand</v>
      </c>
      <c r="I55" t="str">
        <f t="shared" si="6"/>
        <v>Performance</v>
      </c>
      <c r="J55" t="str">
        <f t="shared" si="7"/>
        <v>Temporal Demand</v>
      </c>
      <c r="K55" t="str">
        <f t="shared" si="8"/>
        <v>Frustration</v>
      </c>
      <c r="L55" t="str">
        <f t="shared" si="9"/>
        <v>Mental Demand</v>
      </c>
      <c r="M55" t="str">
        <f t="shared" si="10"/>
        <v>Temporal Demand</v>
      </c>
      <c r="N55" t="str">
        <f t="shared" si="11"/>
        <v>Mental Demand</v>
      </c>
      <c r="O55" t="str">
        <f t="shared" si="12"/>
        <v>Mental Demand</v>
      </c>
      <c r="P55" t="str">
        <f t="shared" si="13"/>
        <v>Effort</v>
      </c>
      <c r="Q55" t="str">
        <f t="shared" si="14"/>
        <v>Frustration</v>
      </c>
      <c r="R55">
        <f t="shared" si="15"/>
        <v>3</v>
      </c>
      <c r="S55">
        <f t="shared" si="16"/>
        <v>0</v>
      </c>
      <c r="T55">
        <f t="shared" si="17"/>
        <v>4</v>
      </c>
      <c r="U55">
        <f t="shared" si="18"/>
        <v>2</v>
      </c>
      <c r="V55">
        <f t="shared" si="19"/>
        <v>1</v>
      </c>
      <c r="W55">
        <f t="shared" si="20"/>
        <v>5</v>
      </c>
      <c r="X55">
        <f t="shared" si="21"/>
        <v>15</v>
      </c>
    </row>
    <row r="56" spans="1:24" x14ac:dyDescent="0.25">
      <c r="A56" s="1">
        <v>27</v>
      </c>
      <c r="B56" s="1" t="s">
        <v>28</v>
      </c>
      <c r="C56" t="str">
        <f t="shared" si="0"/>
        <v>Effort</v>
      </c>
      <c r="D56" t="str">
        <f t="shared" si="1"/>
        <v>Temporal Demand</v>
      </c>
      <c r="E56" t="str">
        <f t="shared" si="2"/>
        <v>Effort</v>
      </c>
      <c r="F56" t="str">
        <f t="shared" si="3"/>
        <v>Frustration</v>
      </c>
      <c r="G56" t="str">
        <f t="shared" si="4"/>
        <v>Performance</v>
      </c>
      <c r="H56" t="str">
        <f t="shared" si="5"/>
        <v>Physical Demand</v>
      </c>
      <c r="I56" t="str">
        <f t="shared" si="6"/>
        <v>Physical Demand</v>
      </c>
      <c r="J56" t="str">
        <f t="shared" si="7"/>
        <v>Mental Demand</v>
      </c>
      <c r="K56" t="str">
        <f t="shared" si="8"/>
        <v>Effort</v>
      </c>
      <c r="L56" t="str">
        <f t="shared" si="9"/>
        <v>Mental Demand</v>
      </c>
      <c r="M56" t="str">
        <f t="shared" si="10"/>
        <v>Temporal Demand</v>
      </c>
      <c r="N56" t="str">
        <f t="shared" si="11"/>
        <v>Mental Demand</v>
      </c>
      <c r="O56" t="str">
        <f t="shared" si="12"/>
        <v>Mental Demand</v>
      </c>
      <c r="P56" t="str">
        <f t="shared" si="13"/>
        <v>Effort</v>
      </c>
      <c r="Q56" t="str">
        <f t="shared" si="14"/>
        <v>Mental Demand</v>
      </c>
      <c r="R56">
        <f t="shared" si="15"/>
        <v>5</v>
      </c>
      <c r="S56">
        <f t="shared" si="16"/>
        <v>2</v>
      </c>
      <c r="T56">
        <f t="shared" si="17"/>
        <v>2</v>
      </c>
      <c r="U56">
        <f t="shared" si="18"/>
        <v>1</v>
      </c>
      <c r="V56">
        <f t="shared" si="19"/>
        <v>4</v>
      </c>
      <c r="W56">
        <f t="shared" si="20"/>
        <v>1</v>
      </c>
      <c r="X56">
        <f t="shared" si="21"/>
        <v>15</v>
      </c>
    </row>
    <row r="57" spans="1:24" x14ac:dyDescent="0.25">
      <c r="A57" s="1">
        <v>28</v>
      </c>
      <c r="B57" s="1" t="s">
        <v>28</v>
      </c>
      <c r="C57" t="str">
        <f t="shared" si="0"/>
        <v>Performance</v>
      </c>
      <c r="D57" t="str">
        <f t="shared" si="1"/>
        <v>Temporal Demand</v>
      </c>
      <c r="E57" t="str">
        <f t="shared" si="2"/>
        <v>Temporal Demand</v>
      </c>
      <c r="F57" t="str">
        <f t="shared" si="3"/>
        <v>Frustration</v>
      </c>
      <c r="G57" t="str">
        <f t="shared" si="4"/>
        <v>Frustration</v>
      </c>
      <c r="H57" t="str">
        <f t="shared" si="5"/>
        <v>Temporal Demand</v>
      </c>
      <c r="I57" t="str">
        <f t="shared" si="6"/>
        <v>Performance</v>
      </c>
      <c r="J57" t="str">
        <f t="shared" si="7"/>
        <v>Mental Demand</v>
      </c>
      <c r="K57" t="str">
        <f t="shared" si="8"/>
        <v>Effort</v>
      </c>
      <c r="L57" t="str">
        <f t="shared" si="9"/>
        <v>Performance</v>
      </c>
      <c r="M57" t="str">
        <f t="shared" si="10"/>
        <v>Temporal Demand</v>
      </c>
      <c r="N57" t="str">
        <f t="shared" si="11"/>
        <v>Mental Demand</v>
      </c>
      <c r="O57" t="str">
        <f t="shared" si="12"/>
        <v>Mental Demand</v>
      </c>
      <c r="P57" t="str">
        <f t="shared" si="13"/>
        <v>Effort</v>
      </c>
      <c r="Q57" t="str">
        <f t="shared" si="14"/>
        <v>Mental Demand</v>
      </c>
      <c r="R57">
        <f t="shared" si="15"/>
        <v>4</v>
      </c>
      <c r="S57">
        <f t="shared" si="16"/>
        <v>0</v>
      </c>
      <c r="T57">
        <f t="shared" si="17"/>
        <v>4</v>
      </c>
      <c r="U57">
        <f t="shared" si="18"/>
        <v>3</v>
      </c>
      <c r="V57">
        <f t="shared" si="19"/>
        <v>2</v>
      </c>
      <c r="W57">
        <f t="shared" si="20"/>
        <v>2</v>
      </c>
      <c r="X57">
        <f t="shared" si="21"/>
        <v>15</v>
      </c>
    </row>
    <row r="58" spans="1:24" x14ac:dyDescent="0.25">
      <c r="A58" s="1">
        <v>29</v>
      </c>
      <c r="B58" s="1" t="s">
        <v>28</v>
      </c>
      <c r="C58" t="str">
        <f t="shared" si="0"/>
        <v>Performance</v>
      </c>
      <c r="D58" t="str">
        <f t="shared" si="1"/>
        <v>Temporal Demand</v>
      </c>
      <c r="E58" t="str">
        <f t="shared" si="2"/>
        <v>Effort</v>
      </c>
      <c r="F58" t="str">
        <f t="shared" si="3"/>
        <v>Frustration</v>
      </c>
      <c r="G58" t="str">
        <f t="shared" si="4"/>
        <v>Performance</v>
      </c>
      <c r="H58" t="str">
        <f t="shared" si="5"/>
        <v>Temporal Demand</v>
      </c>
      <c r="I58" t="str">
        <f t="shared" si="6"/>
        <v>Performance</v>
      </c>
      <c r="J58" t="str">
        <f t="shared" si="7"/>
        <v>Mental Demand</v>
      </c>
      <c r="K58" t="str">
        <f t="shared" si="8"/>
        <v>Effort</v>
      </c>
      <c r="L58" t="str">
        <f t="shared" si="9"/>
        <v>Mental Demand</v>
      </c>
      <c r="M58" t="str">
        <f t="shared" si="10"/>
        <v>Performance</v>
      </c>
      <c r="N58" t="str">
        <f t="shared" si="11"/>
        <v>Effort</v>
      </c>
      <c r="O58" t="str">
        <f t="shared" si="12"/>
        <v>Mental Demand</v>
      </c>
      <c r="P58" t="str">
        <f t="shared" si="13"/>
        <v>Effort</v>
      </c>
      <c r="Q58" t="str">
        <f t="shared" si="14"/>
        <v>Mental Demand</v>
      </c>
      <c r="R58">
        <f t="shared" si="15"/>
        <v>4</v>
      </c>
      <c r="S58">
        <f t="shared" si="16"/>
        <v>0</v>
      </c>
      <c r="T58">
        <f t="shared" si="17"/>
        <v>2</v>
      </c>
      <c r="U58">
        <f t="shared" si="18"/>
        <v>4</v>
      </c>
      <c r="V58">
        <f t="shared" si="19"/>
        <v>4</v>
      </c>
      <c r="W58">
        <f t="shared" si="20"/>
        <v>1</v>
      </c>
      <c r="X58">
        <f t="shared" si="21"/>
        <v>15</v>
      </c>
    </row>
    <row r="59" spans="1:24" x14ac:dyDescent="0.25">
      <c r="A59" s="1"/>
      <c r="B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 Responses 1</vt:lpstr>
      <vt:lpstr>Nasa_Ratings</vt:lpstr>
      <vt:lpstr>AW</vt:lpstr>
      <vt:lpstr>MI</vt:lpstr>
      <vt:lpstr>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</cp:lastModifiedBy>
  <dcterms:modified xsi:type="dcterms:W3CDTF">2025-10-25T14:44:04Z</dcterms:modified>
</cp:coreProperties>
</file>